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hidePivotFieldList="1"/>
  <bookViews>
    <workbookView xWindow="-105" yWindow="-105" windowWidth="23250" windowHeight="12285" activeTab="5"/>
  </bookViews>
  <sheets>
    <sheet name="Main" sheetId="1" r:id="rId1"/>
    <sheet name="UE" sheetId="2" r:id="rId2"/>
    <sheet name="Долги" sheetId="3" r:id="rId3"/>
    <sheet name="База клиентов" sheetId="4" r:id="rId4"/>
    <sheet name="получение" sheetId="5" r:id="rId5"/>
    <sheet name="Лист5" sheetId="8" r:id="rId6"/>
  </sheets>
  <externalReferences>
    <externalReference r:id="rId7"/>
  </externalReferences>
  <definedNames>
    <definedName name="_xlnm._FilterDatabase" localSheetId="0" hidden="1">Main!$A$1:$Q$418</definedName>
    <definedName name="_xlnm._FilterDatabase" localSheetId="1" hidden="1">UE!$A$1:$E$95</definedName>
    <definedName name="_xlnm._FilterDatabase" localSheetId="2" hidden="1">Долги!$A$1:$B$50</definedName>
    <definedName name="_xlnm._FilterDatabase" localSheetId="4" hidden="1">получение!#REF!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5" l="1"/>
  <c r="B1" i="5" s="1"/>
  <c r="L351" i="1" l="1"/>
  <c r="H351" i="1"/>
  <c r="L354" i="1"/>
  <c r="H354" i="1"/>
  <c r="M345" i="1"/>
  <c r="L323" i="1"/>
  <c r="H323" i="1"/>
  <c r="L264" i="1"/>
  <c r="H264" i="1"/>
  <c r="H396" i="1"/>
  <c r="L396" i="1"/>
  <c r="H397" i="1"/>
  <c r="L397" i="1"/>
  <c r="H398" i="1"/>
  <c r="L398" i="1"/>
  <c r="H399" i="1"/>
  <c r="L399" i="1"/>
  <c r="H400" i="1"/>
  <c r="L400" i="1"/>
  <c r="H401" i="1"/>
  <c r="L401" i="1"/>
  <c r="H402" i="1"/>
  <c r="L402" i="1"/>
  <c r="H403" i="1"/>
  <c r="L403" i="1"/>
  <c r="H404" i="1"/>
  <c r="L404" i="1"/>
  <c r="H405" i="1"/>
  <c r="L405" i="1"/>
  <c r="H406" i="1"/>
  <c r="L406" i="1"/>
  <c r="L407" i="1"/>
  <c r="H408" i="1"/>
  <c r="L408" i="1"/>
  <c r="H409" i="1"/>
  <c r="L409" i="1"/>
  <c r="H410" i="1"/>
  <c r="L410" i="1"/>
  <c r="H411" i="1"/>
  <c r="L411" i="1"/>
  <c r="H412" i="1"/>
  <c r="L412" i="1"/>
  <c r="G413" i="1"/>
  <c r="H413" i="1"/>
  <c r="L413" i="1"/>
  <c r="G414" i="1"/>
  <c r="H414" i="1"/>
  <c r="L414" i="1"/>
  <c r="G415" i="1"/>
  <c r="H415" i="1"/>
  <c r="L415" i="1"/>
  <c r="G416" i="1"/>
  <c r="H416" i="1"/>
  <c r="L416" i="1"/>
  <c r="G417" i="1"/>
  <c r="H417" i="1"/>
  <c r="L417" i="1"/>
  <c r="G418" i="1"/>
  <c r="H418" i="1"/>
  <c r="L418" i="1"/>
  <c r="P351" i="1" l="1"/>
  <c r="P354" i="1"/>
  <c r="P323" i="1"/>
  <c r="P397" i="1"/>
  <c r="P264" i="1"/>
  <c r="P413" i="1"/>
  <c r="P415" i="1"/>
  <c r="P407" i="1"/>
  <c r="P411" i="1"/>
  <c r="P409" i="1"/>
  <c r="P399" i="1"/>
  <c r="P401" i="1"/>
  <c r="P403" i="1"/>
  <c r="P417" i="1"/>
  <c r="P410" i="1"/>
  <c r="P405" i="1"/>
  <c r="P414" i="1"/>
  <c r="P416" i="1"/>
  <c r="P400" i="1"/>
  <c r="P404" i="1"/>
  <c r="P418" i="1"/>
  <c r="P406" i="1"/>
  <c r="P412" i="1"/>
  <c r="P398" i="1"/>
  <c r="P402" i="1"/>
  <c r="P408" i="1"/>
  <c r="P396" i="1"/>
  <c r="L317" i="1"/>
  <c r="H317" i="1"/>
  <c r="P317" i="1" l="1"/>
  <c r="M318" i="1"/>
  <c r="H384" i="1"/>
  <c r="L384" i="1"/>
  <c r="H385" i="1"/>
  <c r="L385" i="1"/>
  <c r="H386" i="1"/>
  <c r="L386" i="1"/>
  <c r="H387" i="1"/>
  <c r="L387" i="1"/>
  <c r="H388" i="1"/>
  <c r="L388" i="1"/>
  <c r="H389" i="1"/>
  <c r="L389" i="1"/>
  <c r="H390" i="1"/>
  <c r="L390" i="1"/>
  <c r="H391" i="1"/>
  <c r="L391" i="1"/>
  <c r="H392" i="1"/>
  <c r="L392" i="1"/>
  <c r="H393" i="1"/>
  <c r="L393" i="1"/>
  <c r="H394" i="1"/>
  <c r="L394" i="1"/>
  <c r="H395" i="1"/>
  <c r="L395" i="1"/>
  <c r="H363" i="1"/>
  <c r="L363" i="1"/>
  <c r="H364" i="1"/>
  <c r="L364" i="1"/>
  <c r="H365" i="1"/>
  <c r="L365" i="1"/>
  <c r="H366" i="1"/>
  <c r="L366" i="1"/>
  <c r="H367" i="1"/>
  <c r="L367" i="1"/>
  <c r="H368" i="1"/>
  <c r="L368" i="1"/>
  <c r="H369" i="1"/>
  <c r="L369" i="1"/>
  <c r="H370" i="1"/>
  <c r="L370" i="1"/>
  <c r="H371" i="1"/>
  <c r="L371" i="1"/>
  <c r="H372" i="1"/>
  <c r="L372" i="1"/>
  <c r="H373" i="1"/>
  <c r="L373" i="1"/>
  <c r="H374" i="1"/>
  <c r="L374" i="1"/>
  <c r="H375" i="1"/>
  <c r="L375" i="1"/>
  <c r="H376" i="1"/>
  <c r="L376" i="1"/>
  <c r="H377" i="1"/>
  <c r="L377" i="1"/>
  <c r="H378" i="1"/>
  <c r="L378" i="1"/>
  <c r="H379" i="1"/>
  <c r="L379" i="1"/>
  <c r="H380" i="1"/>
  <c r="L380" i="1"/>
  <c r="H381" i="1"/>
  <c r="L381" i="1"/>
  <c r="H382" i="1"/>
  <c r="L382" i="1"/>
  <c r="H383" i="1"/>
  <c r="L383" i="1"/>
  <c r="L272" i="1"/>
  <c r="H272" i="1"/>
  <c r="B59" i="3"/>
  <c r="H340" i="1"/>
  <c r="L340" i="1"/>
  <c r="H341" i="1"/>
  <c r="L341" i="1"/>
  <c r="H342" i="1"/>
  <c r="L342" i="1"/>
  <c r="H343" i="1"/>
  <c r="L343" i="1"/>
  <c r="H344" i="1"/>
  <c r="L344" i="1"/>
  <c r="H345" i="1"/>
  <c r="L345" i="1"/>
  <c r="H346" i="1"/>
  <c r="L346" i="1"/>
  <c r="H347" i="1"/>
  <c r="L347" i="1"/>
  <c r="H348" i="1"/>
  <c r="L348" i="1"/>
  <c r="H349" i="1"/>
  <c r="L349" i="1"/>
  <c r="H350" i="1"/>
  <c r="L350" i="1"/>
  <c r="H352" i="1"/>
  <c r="L352" i="1"/>
  <c r="H353" i="1"/>
  <c r="L353" i="1"/>
  <c r="H355" i="1"/>
  <c r="L355" i="1"/>
  <c r="H356" i="1"/>
  <c r="L356" i="1"/>
  <c r="H357" i="1"/>
  <c r="L357" i="1"/>
  <c r="H358" i="1"/>
  <c r="L358" i="1"/>
  <c r="H359" i="1"/>
  <c r="L359" i="1"/>
  <c r="H360" i="1"/>
  <c r="L360" i="1"/>
  <c r="H361" i="1"/>
  <c r="L361" i="1"/>
  <c r="H362" i="1"/>
  <c r="L362" i="1"/>
  <c r="L285" i="1"/>
  <c r="H285" i="1"/>
  <c r="M319" i="1"/>
  <c r="P395" i="1" l="1"/>
  <c r="P387" i="1"/>
  <c r="P384" i="1"/>
  <c r="P394" i="1"/>
  <c r="P389" i="1"/>
  <c r="P391" i="1"/>
  <c r="P388" i="1"/>
  <c r="P385" i="1"/>
  <c r="P393" i="1"/>
  <c r="P386" i="1"/>
  <c r="P390" i="1"/>
  <c r="B60" i="3" s="1"/>
  <c r="P392" i="1"/>
  <c r="P372" i="1"/>
  <c r="P366" i="1"/>
  <c r="P367" i="1"/>
  <c r="P370" i="1"/>
  <c r="P381" i="1"/>
  <c r="P373" i="1"/>
  <c r="P371" i="1"/>
  <c r="P375" i="1"/>
  <c r="P369" i="1"/>
  <c r="P378" i="1"/>
  <c r="P383" i="1"/>
  <c r="P382" i="1"/>
  <c r="P374" i="1"/>
  <c r="P364" i="1"/>
  <c r="P377" i="1"/>
  <c r="P379" i="1"/>
  <c r="P380" i="1"/>
  <c r="P365" i="1"/>
  <c r="P368" i="1"/>
  <c r="P376" i="1"/>
  <c r="P363" i="1"/>
  <c r="P345" i="1"/>
  <c r="B58" i="3" s="1"/>
  <c r="P347" i="1"/>
  <c r="P272" i="1"/>
  <c r="P340" i="1"/>
  <c r="P360" i="1"/>
  <c r="P352" i="1"/>
  <c r="P349" i="1"/>
  <c r="P357" i="1"/>
  <c r="P359" i="1"/>
  <c r="P342" i="1"/>
  <c r="P361" i="1"/>
  <c r="P341" i="1"/>
  <c r="P346" i="1"/>
  <c r="P344" i="1"/>
  <c r="P355" i="1"/>
  <c r="P348" i="1"/>
  <c r="P343" i="1"/>
  <c r="P350" i="1"/>
  <c r="P353" i="1"/>
  <c r="P356" i="1"/>
  <c r="P358" i="1"/>
  <c r="P362" i="1"/>
  <c r="P285" i="1"/>
  <c r="F302" i="1"/>
  <c r="M287" i="1"/>
  <c r="M291" i="1"/>
  <c r="M293" i="1"/>
  <c r="M252" i="1"/>
  <c r="L155" i="1" l="1"/>
  <c r="H155" i="1"/>
  <c r="L168" i="1"/>
  <c r="H168" i="1"/>
  <c r="L283" i="1"/>
  <c r="L263" i="1"/>
  <c r="H263" i="1"/>
  <c r="F270" i="1"/>
  <c r="M265" i="1"/>
  <c r="M234" i="1"/>
  <c r="M253" i="1"/>
  <c r="M256" i="1"/>
  <c r="L302" i="1"/>
  <c r="H303" i="1"/>
  <c r="L303" i="1"/>
  <c r="H304" i="1"/>
  <c r="L304" i="1"/>
  <c r="H305" i="1"/>
  <c r="L305" i="1"/>
  <c r="H306" i="1"/>
  <c r="L306" i="1"/>
  <c r="H307" i="1"/>
  <c r="L307" i="1"/>
  <c r="H308" i="1"/>
  <c r="L308" i="1"/>
  <c r="H309" i="1"/>
  <c r="L309" i="1"/>
  <c r="G310" i="1"/>
  <c r="H310" i="1"/>
  <c r="L310" i="1"/>
  <c r="H311" i="1"/>
  <c r="L311" i="1"/>
  <c r="H312" i="1"/>
  <c r="L312" i="1"/>
  <c r="H313" i="1"/>
  <c r="L313" i="1"/>
  <c r="H314" i="1"/>
  <c r="L314" i="1"/>
  <c r="H315" i="1"/>
  <c r="L315" i="1"/>
  <c r="H316" i="1"/>
  <c r="L316" i="1"/>
  <c r="H318" i="1"/>
  <c r="L318" i="1"/>
  <c r="H319" i="1"/>
  <c r="L319" i="1"/>
  <c r="H320" i="1"/>
  <c r="L320" i="1"/>
  <c r="H321" i="1"/>
  <c r="L321" i="1"/>
  <c r="H322" i="1"/>
  <c r="L322" i="1"/>
  <c r="H324" i="1"/>
  <c r="L324" i="1"/>
  <c r="H325" i="1"/>
  <c r="L325" i="1"/>
  <c r="G326" i="1"/>
  <c r="H326" i="1"/>
  <c r="L326" i="1"/>
  <c r="H327" i="1"/>
  <c r="L327" i="1"/>
  <c r="H328" i="1"/>
  <c r="L328" i="1"/>
  <c r="H329" i="1"/>
  <c r="L329" i="1"/>
  <c r="H330" i="1"/>
  <c r="L330" i="1"/>
  <c r="H331" i="1"/>
  <c r="L331" i="1"/>
  <c r="H332" i="1"/>
  <c r="L332" i="1"/>
  <c r="H333" i="1"/>
  <c r="L333" i="1"/>
  <c r="H334" i="1"/>
  <c r="L334" i="1"/>
  <c r="H335" i="1"/>
  <c r="L335" i="1"/>
  <c r="H336" i="1"/>
  <c r="L336" i="1"/>
  <c r="H337" i="1"/>
  <c r="L337" i="1"/>
  <c r="H338" i="1"/>
  <c r="L338" i="1"/>
  <c r="H339" i="1"/>
  <c r="L339" i="1"/>
  <c r="M235" i="1"/>
  <c r="P168" i="1" l="1"/>
  <c r="P155" i="1"/>
  <c r="P263" i="1"/>
  <c r="P308" i="1"/>
  <c r="P332" i="1"/>
  <c r="P334" i="1"/>
  <c r="P320" i="1"/>
  <c r="P316" i="1"/>
  <c r="P310" i="1"/>
  <c r="P302" i="1"/>
  <c r="P338" i="1"/>
  <c r="P335" i="1"/>
  <c r="P327" i="1"/>
  <c r="P312" i="1"/>
  <c r="P326" i="1"/>
  <c r="P324" i="1"/>
  <c r="P304" i="1"/>
  <c r="P330" i="1"/>
  <c r="P314" i="1"/>
  <c r="P311" i="1"/>
  <c r="P306" i="1"/>
  <c r="P321" i="1"/>
  <c r="P336" i="1"/>
  <c r="P322" i="1"/>
  <c r="P328" i="1"/>
  <c r="P319" i="1"/>
  <c r="B54" i="3" s="1"/>
  <c r="P331" i="1"/>
  <c r="P329" i="1"/>
  <c r="P313" i="1"/>
  <c r="P315" i="1"/>
  <c r="P333" i="1"/>
  <c r="P318" i="1"/>
  <c r="P303" i="1"/>
  <c r="P337" i="1"/>
  <c r="P305" i="1"/>
  <c r="P339" i="1"/>
  <c r="P325" i="1"/>
  <c r="P307" i="1"/>
  <c r="P309" i="1"/>
  <c r="M79" i="1"/>
  <c r="M77" i="1"/>
  <c r="D292" i="2"/>
  <c r="L167" i="1"/>
  <c r="M172" i="1" l="1"/>
  <c r="M20" i="1"/>
  <c r="L160" i="1" l="1"/>
  <c r="H160" i="1"/>
  <c r="L82" i="1"/>
  <c r="H82" i="1"/>
  <c r="M207" i="1"/>
  <c r="H282" i="1"/>
  <c r="L282" i="1"/>
  <c r="H283" i="1"/>
  <c r="H284" i="1"/>
  <c r="L284" i="1"/>
  <c r="H286" i="1"/>
  <c r="L286" i="1"/>
  <c r="H287" i="1"/>
  <c r="L287" i="1"/>
  <c r="H288" i="1"/>
  <c r="L288" i="1"/>
  <c r="H289" i="1"/>
  <c r="L289" i="1"/>
  <c r="H290" i="1"/>
  <c r="L290" i="1"/>
  <c r="H291" i="1"/>
  <c r="L291" i="1"/>
  <c r="H292" i="1"/>
  <c r="L292" i="1"/>
  <c r="H293" i="1"/>
  <c r="L293" i="1"/>
  <c r="H294" i="1"/>
  <c r="L294" i="1"/>
  <c r="H295" i="1"/>
  <c r="L295" i="1"/>
  <c r="H296" i="1"/>
  <c r="L296" i="1"/>
  <c r="H297" i="1"/>
  <c r="L297" i="1"/>
  <c r="H298" i="1"/>
  <c r="L298" i="1"/>
  <c r="H299" i="1"/>
  <c r="L299" i="1"/>
  <c r="H300" i="1"/>
  <c r="L300" i="1"/>
  <c r="H301" i="1"/>
  <c r="L301" i="1"/>
  <c r="H271" i="1"/>
  <c r="L271" i="1"/>
  <c r="H273" i="1"/>
  <c r="L273" i="1"/>
  <c r="H274" i="1"/>
  <c r="L274" i="1"/>
  <c r="H275" i="1"/>
  <c r="L275" i="1"/>
  <c r="H276" i="1"/>
  <c r="L276" i="1"/>
  <c r="H277" i="1"/>
  <c r="L277" i="1"/>
  <c r="H278" i="1"/>
  <c r="L278" i="1"/>
  <c r="H279" i="1"/>
  <c r="L279" i="1"/>
  <c r="H280" i="1"/>
  <c r="L280" i="1"/>
  <c r="H281" i="1"/>
  <c r="L281" i="1"/>
  <c r="P160" i="1" l="1"/>
  <c r="P82" i="1"/>
  <c r="P276" i="1"/>
  <c r="P282" i="1"/>
  <c r="P271" i="1"/>
  <c r="P275" i="1"/>
  <c r="P278" i="1"/>
  <c r="P301" i="1"/>
  <c r="P293" i="1"/>
  <c r="P284" i="1"/>
  <c r="P280" i="1"/>
  <c r="P277" i="1"/>
  <c r="P297" i="1"/>
  <c r="P274" i="1"/>
  <c r="P281" i="1"/>
  <c r="P289" i="1"/>
  <c r="P273" i="1"/>
  <c r="P295" i="1"/>
  <c r="P287" i="1"/>
  <c r="P290" i="1"/>
  <c r="P300" i="1"/>
  <c r="P292" i="1"/>
  <c r="P283" i="1"/>
  <c r="P298" i="1"/>
  <c r="P294" i="1"/>
  <c r="P286" i="1"/>
  <c r="P291" i="1"/>
  <c r="P299" i="1"/>
  <c r="P279" i="1"/>
  <c r="P296" i="1"/>
  <c r="P288" i="1"/>
  <c r="H252" i="1"/>
  <c r="L252" i="1"/>
  <c r="H253" i="1"/>
  <c r="L253" i="1"/>
  <c r="H254" i="1"/>
  <c r="L254" i="1"/>
  <c r="H255" i="1"/>
  <c r="L255" i="1"/>
  <c r="H256" i="1"/>
  <c r="L256" i="1"/>
  <c r="G257" i="1"/>
  <c r="H257" i="1"/>
  <c r="L257" i="1"/>
  <c r="H258" i="1"/>
  <c r="L258" i="1"/>
  <c r="H259" i="1"/>
  <c r="L259" i="1"/>
  <c r="H260" i="1"/>
  <c r="L260" i="1"/>
  <c r="H261" i="1"/>
  <c r="L261" i="1"/>
  <c r="H262" i="1"/>
  <c r="L262" i="1"/>
  <c r="H265" i="1"/>
  <c r="L265" i="1"/>
  <c r="H266" i="1"/>
  <c r="L266" i="1"/>
  <c r="H267" i="1"/>
  <c r="L267" i="1"/>
  <c r="H268" i="1"/>
  <c r="L268" i="1"/>
  <c r="H269" i="1"/>
  <c r="L269" i="1"/>
  <c r="L270" i="1"/>
  <c r="P260" i="1" l="1"/>
  <c r="P270" i="1"/>
  <c r="P258" i="1"/>
  <c r="P254" i="1"/>
  <c r="P255" i="1"/>
  <c r="P256" i="1"/>
  <c r="B49" i="3" s="1"/>
  <c r="P262" i="1"/>
  <c r="P266" i="1"/>
  <c r="P268" i="1"/>
  <c r="P261" i="1"/>
  <c r="P257" i="1"/>
  <c r="P259" i="1"/>
  <c r="P267" i="1"/>
  <c r="P265" i="1"/>
  <c r="P269" i="1"/>
  <c r="P252" i="1"/>
  <c r="P253" i="1"/>
  <c r="H243" i="1" l="1"/>
  <c r="L243" i="1"/>
  <c r="H244" i="1"/>
  <c r="L244" i="1"/>
  <c r="H245" i="1"/>
  <c r="L245" i="1"/>
  <c r="H246" i="1"/>
  <c r="L246" i="1"/>
  <c r="H247" i="1"/>
  <c r="L247" i="1"/>
  <c r="H248" i="1"/>
  <c r="L248" i="1"/>
  <c r="H249" i="1"/>
  <c r="L249" i="1"/>
  <c r="H250" i="1"/>
  <c r="L250" i="1"/>
  <c r="H251" i="1"/>
  <c r="L251" i="1"/>
  <c r="L181" i="1"/>
  <c r="H181" i="1"/>
  <c r="L176" i="1"/>
  <c r="H176" i="1"/>
  <c r="L147" i="1"/>
  <c r="H147" i="1"/>
  <c r="P243" i="1" l="1"/>
  <c r="P246" i="1"/>
  <c r="P250" i="1"/>
  <c r="P248" i="1"/>
  <c r="P245" i="1"/>
  <c r="P247" i="1"/>
  <c r="P251" i="1"/>
  <c r="P249" i="1"/>
  <c r="P244" i="1"/>
  <c r="P181" i="1"/>
  <c r="P176" i="1"/>
  <c r="P147" i="1"/>
  <c r="H235" i="1"/>
  <c r="L235" i="1"/>
  <c r="H236" i="1"/>
  <c r="L236" i="1"/>
  <c r="H237" i="1"/>
  <c r="L237" i="1"/>
  <c r="H238" i="1"/>
  <c r="L238" i="1"/>
  <c r="H239" i="1"/>
  <c r="L239" i="1"/>
  <c r="H240" i="1"/>
  <c r="L240" i="1"/>
  <c r="H241" i="1"/>
  <c r="L241" i="1"/>
  <c r="H242" i="1"/>
  <c r="L242" i="1"/>
  <c r="H229" i="1"/>
  <c r="L229" i="1"/>
  <c r="M163" i="1"/>
  <c r="B57" i="3" l="1"/>
  <c r="P242" i="1"/>
  <c r="P240" i="1"/>
  <c r="P235" i="1"/>
  <c r="P237" i="1"/>
  <c r="P239" i="1"/>
  <c r="P241" i="1"/>
  <c r="P238" i="1"/>
  <c r="P236" i="1"/>
  <c r="P229" i="1"/>
  <c r="L154" i="1"/>
  <c r="H154" i="1"/>
  <c r="P154" i="1" l="1"/>
  <c r="M112" i="1"/>
  <c r="M149" i="1"/>
  <c r="H221" i="1" l="1"/>
  <c r="L221" i="1"/>
  <c r="H222" i="1"/>
  <c r="L222" i="1"/>
  <c r="H223" i="1"/>
  <c r="L223" i="1"/>
  <c r="H224" i="1"/>
  <c r="L224" i="1"/>
  <c r="H225" i="1"/>
  <c r="L225" i="1"/>
  <c r="H226" i="1"/>
  <c r="L226" i="1"/>
  <c r="H227" i="1"/>
  <c r="L227" i="1"/>
  <c r="H228" i="1"/>
  <c r="L228" i="1"/>
  <c r="H230" i="1"/>
  <c r="L230" i="1"/>
  <c r="H231" i="1"/>
  <c r="L231" i="1"/>
  <c r="H232" i="1"/>
  <c r="L232" i="1"/>
  <c r="H233" i="1"/>
  <c r="L233" i="1"/>
  <c r="H234" i="1"/>
  <c r="L234" i="1"/>
  <c r="L140" i="1"/>
  <c r="H140" i="1"/>
  <c r="M150" i="1"/>
  <c r="M133" i="1"/>
  <c r="H213" i="1"/>
  <c r="L213" i="1"/>
  <c r="L214" i="1"/>
  <c r="H215" i="1"/>
  <c r="L215" i="1"/>
  <c r="H216" i="1"/>
  <c r="L216" i="1"/>
  <c r="H217" i="1"/>
  <c r="L217" i="1"/>
  <c r="H218" i="1"/>
  <c r="L218" i="1"/>
  <c r="H219" i="1"/>
  <c r="L219" i="1"/>
  <c r="H220" i="1"/>
  <c r="L220" i="1"/>
  <c r="M116" i="1"/>
  <c r="M129" i="1"/>
  <c r="P234" i="1" l="1"/>
  <c r="P226" i="1"/>
  <c r="P225" i="1"/>
  <c r="P231" i="1"/>
  <c r="P233" i="1"/>
  <c r="P230" i="1"/>
  <c r="P227" i="1"/>
  <c r="P232" i="1"/>
  <c r="P224" i="1"/>
  <c r="P223" i="1"/>
  <c r="P228" i="1"/>
  <c r="P222" i="1"/>
  <c r="P221" i="1"/>
  <c r="P140" i="1"/>
  <c r="P217" i="1"/>
  <c r="P219" i="1"/>
  <c r="P215" i="1"/>
  <c r="P216" i="1"/>
  <c r="P218" i="1"/>
  <c r="P220" i="1"/>
  <c r="P214" i="1"/>
  <c r="P213" i="1"/>
  <c r="L126" i="1"/>
  <c r="H126" i="1"/>
  <c r="L131" i="1"/>
  <c r="H131" i="1"/>
  <c r="H200" i="1"/>
  <c r="L200" i="1"/>
  <c r="H201" i="1"/>
  <c r="L201" i="1"/>
  <c r="H202" i="1"/>
  <c r="L202" i="1"/>
  <c r="H203" i="1"/>
  <c r="L203" i="1"/>
  <c r="H204" i="1"/>
  <c r="L204" i="1"/>
  <c r="H205" i="1"/>
  <c r="L205" i="1"/>
  <c r="L206" i="1"/>
  <c r="H207" i="1"/>
  <c r="L207" i="1"/>
  <c r="H208" i="1"/>
  <c r="L208" i="1"/>
  <c r="H209" i="1"/>
  <c r="L209" i="1"/>
  <c r="H210" i="1"/>
  <c r="L210" i="1"/>
  <c r="H211" i="1"/>
  <c r="L211" i="1"/>
  <c r="H212" i="1"/>
  <c r="L212" i="1"/>
  <c r="H185" i="1"/>
  <c r="L185" i="1"/>
  <c r="H186" i="1"/>
  <c r="L186" i="1"/>
  <c r="H187" i="1"/>
  <c r="L187" i="1"/>
  <c r="H188" i="1"/>
  <c r="L188" i="1"/>
  <c r="H189" i="1"/>
  <c r="L189" i="1"/>
  <c r="H190" i="1"/>
  <c r="L190" i="1"/>
  <c r="H191" i="1"/>
  <c r="L191" i="1"/>
  <c r="H192" i="1"/>
  <c r="L192" i="1"/>
  <c r="H193" i="1"/>
  <c r="L193" i="1"/>
  <c r="H194" i="1"/>
  <c r="L194" i="1"/>
  <c r="H195" i="1"/>
  <c r="L195" i="1"/>
  <c r="H196" i="1"/>
  <c r="L196" i="1"/>
  <c r="H197" i="1"/>
  <c r="L197" i="1"/>
  <c r="H198" i="1"/>
  <c r="L198" i="1"/>
  <c r="H199" i="1"/>
  <c r="L199" i="1"/>
  <c r="F161" i="1"/>
  <c r="P126" i="1" l="1"/>
  <c r="P204" i="1"/>
  <c r="P212" i="1"/>
  <c r="P202" i="1"/>
  <c r="P131" i="1"/>
  <c r="P206" i="1"/>
  <c r="P208" i="1"/>
  <c r="B43" i="3" s="1"/>
  <c r="P210" i="1"/>
  <c r="P207" i="1"/>
  <c r="P203" i="1"/>
  <c r="P205" i="1"/>
  <c r="P200" i="1"/>
  <c r="P209" i="1"/>
  <c r="P211" i="1"/>
  <c r="P201" i="1"/>
  <c r="P198" i="1"/>
  <c r="P190" i="1"/>
  <c r="P188" i="1"/>
  <c r="P185" i="1"/>
  <c r="P196" i="1"/>
  <c r="P192" i="1"/>
  <c r="P194" i="1"/>
  <c r="P186" i="1"/>
  <c r="P187" i="1"/>
  <c r="P189" i="1"/>
  <c r="P191" i="1"/>
  <c r="P193" i="1"/>
  <c r="P195" i="1"/>
  <c r="P197" i="1"/>
  <c r="P199" i="1"/>
  <c r="B41" i="3" l="1"/>
  <c r="M103" i="1"/>
  <c r="L99" i="1"/>
  <c r="H99" i="1"/>
  <c r="L110" i="1"/>
  <c r="H110" i="1"/>
  <c r="P110" i="1" l="1"/>
  <c r="P99" i="1"/>
  <c r="H167" i="1"/>
  <c r="H169" i="1"/>
  <c r="L169" i="1"/>
  <c r="H170" i="1"/>
  <c r="L170" i="1"/>
  <c r="H171" i="1"/>
  <c r="L171" i="1"/>
  <c r="H172" i="1"/>
  <c r="L172" i="1"/>
  <c r="H173" i="1"/>
  <c r="L173" i="1"/>
  <c r="H174" i="1"/>
  <c r="L174" i="1"/>
  <c r="H175" i="1"/>
  <c r="L175" i="1"/>
  <c r="H177" i="1"/>
  <c r="L177" i="1"/>
  <c r="H178" i="1"/>
  <c r="L178" i="1"/>
  <c r="H179" i="1"/>
  <c r="L179" i="1"/>
  <c r="H180" i="1"/>
  <c r="L180" i="1"/>
  <c r="H182" i="1"/>
  <c r="L182" i="1"/>
  <c r="G183" i="1"/>
  <c r="H183" i="1"/>
  <c r="L183" i="1"/>
  <c r="H184" i="1"/>
  <c r="L184" i="1"/>
  <c r="M95" i="1"/>
  <c r="M93" i="1"/>
  <c r="M100" i="1"/>
  <c r="M70" i="1"/>
  <c r="M78" i="1"/>
  <c r="H148" i="1"/>
  <c r="L148" i="1"/>
  <c r="H149" i="1"/>
  <c r="L149" i="1"/>
  <c r="H150" i="1"/>
  <c r="L150" i="1"/>
  <c r="H151" i="1"/>
  <c r="L151" i="1"/>
  <c r="L152" i="1"/>
  <c r="H153" i="1"/>
  <c r="L153" i="1"/>
  <c r="H156" i="1"/>
  <c r="L156" i="1"/>
  <c r="H157" i="1"/>
  <c r="L157" i="1"/>
  <c r="H158" i="1"/>
  <c r="L158" i="1"/>
  <c r="H159" i="1"/>
  <c r="L159" i="1"/>
  <c r="H161" i="1"/>
  <c r="L161" i="1"/>
  <c r="H162" i="1"/>
  <c r="L162" i="1"/>
  <c r="H163" i="1"/>
  <c r="L163" i="1"/>
  <c r="H164" i="1"/>
  <c r="L164" i="1"/>
  <c r="H165" i="1"/>
  <c r="L165" i="1"/>
  <c r="H166" i="1"/>
  <c r="L166" i="1"/>
  <c r="M92" i="1"/>
  <c r="M85" i="1"/>
  <c r="M49" i="1"/>
  <c r="M55" i="1"/>
  <c r="P171" i="1" l="1"/>
  <c r="P173" i="1"/>
  <c r="P175" i="1"/>
  <c r="P178" i="1"/>
  <c r="P183" i="1"/>
  <c r="P180" i="1"/>
  <c r="P172" i="1"/>
  <c r="P169" i="1"/>
  <c r="P174" i="1"/>
  <c r="P167" i="1"/>
  <c r="P177" i="1"/>
  <c r="P179" i="1"/>
  <c r="P182" i="1"/>
  <c r="P184" i="1"/>
  <c r="P170" i="1"/>
  <c r="P164" i="1"/>
  <c r="P162" i="1"/>
  <c r="P159" i="1"/>
  <c r="P151" i="1"/>
  <c r="P148" i="1"/>
  <c r="P153" i="1"/>
  <c r="P157" i="1"/>
  <c r="P163" i="1"/>
  <c r="P166" i="1"/>
  <c r="P152" i="1"/>
  <c r="P165" i="1"/>
  <c r="P156" i="1"/>
  <c r="P158" i="1"/>
  <c r="P161" i="1"/>
  <c r="P149" i="1"/>
  <c r="P150" i="1"/>
  <c r="B48" i="3" l="1"/>
  <c r="H125" i="1"/>
  <c r="L125" i="1"/>
  <c r="H127" i="1"/>
  <c r="L127" i="1"/>
  <c r="H128" i="1"/>
  <c r="L128" i="1"/>
  <c r="H129" i="1"/>
  <c r="L129" i="1"/>
  <c r="H130" i="1"/>
  <c r="L130" i="1"/>
  <c r="H132" i="1"/>
  <c r="L132" i="1"/>
  <c r="H133" i="1"/>
  <c r="L133" i="1"/>
  <c r="H134" i="1"/>
  <c r="L134" i="1"/>
  <c r="H135" i="1"/>
  <c r="L135" i="1"/>
  <c r="H136" i="1"/>
  <c r="L136" i="1"/>
  <c r="H137" i="1"/>
  <c r="L137" i="1"/>
  <c r="H138" i="1"/>
  <c r="L138" i="1"/>
  <c r="H139" i="1"/>
  <c r="L139" i="1"/>
  <c r="H141" i="1"/>
  <c r="L141" i="1"/>
  <c r="H142" i="1"/>
  <c r="L142" i="1"/>
  <c r="H143" i="1"/>
  <c r="L143" i="1"/>
  <c r="H144" i="1"/>
  <c r="L144" i="1"/>
  <c r="H145" i="1"/>
  <c r="L145" i="1"/>
  <c r="H146" i="1"/>
  <c r="L146" i="1"/>
  <c r="P125" i="1" l="1"/>
  <c r="P134" i="1"/>
  <c r="P127" i="1"/>
  <c r="P132" i="1"/>
  <c r="P135" i="1"/>
  <c r="P145" i="1"/>
  <c r="P136" i="1"/>
  <c r="P138" i="1"/>
  <c r="P129" i="1"/>
  <c r="P141" i="1"/>
  <c r="P137" i="1"/>
  <c r="P143" i="1"/>
  <c r="P139" i="1"/>
  <c r="P128" i="1"/>
  <c r="P142" i="1"/>
  <c r="P144" i="1"/>
  <c r="P146" i="1"/>
  <c r="P130" i="1"/>
  <c r="P133" i="1"/>
  <c r="M43" i="1"/>
  <c r="H116" i="1"/>
  <c r="L116" i="1"/>
  <c r="H117" i="1"/>
  <c r="L117" i="1"/>
  <c r="H118" i="1"/>
  <c r="L118" i="1"/>
  <c r="H119" i="1"/>
  <c r="L119" i="1"/>
  <c r="H120" i="1"/>
  <c r="L120" i="1"/>
  <c r="H121" i="1"/>
  <c r="L121" i="1"/>
  <c r="H122" i="1"/>
  <c r="L122" i="1"/>
  <c r="H123" i="1"/>
  <c r="L123" i="1"/>
  <c r="H124" i="1"/>
  <c r="L124" i="1"/>
  <c r="M45" i="1"/>
  <c r="L35" i="1"/>
  <c r="H35" i="1"/>
  <c r="L26" i="1"/>
  <c r="H26" i="1"/>
  <c r="H95" i="1"/>
  <c r="L95" i="1"/>
  <c r="H96" i="1"/>
  <c r="L96" i="1"/>
  <c r="H97" i="1"/>
  <c r="L97" i="1"/>
  <c r="H98" i="1"/>
  <c r="L98" i="1"/>
  <c r="H100" i="1"/>
  <c r="L100" i="1"/>
  <c r="H101" i="1"/>
  <c r="L101" i="1"/>
  <c r="H102" i="1"/>
  <c r="L102" i="1"/>
  <c r="H103" i="1"/>
  <c r="L103" i="1"/>
  <c r="H104" i="1"/>
  <c r="L104" i="1"/>
  <c r="H105" i="1"/>
  <c r="L105" i="1"/>
  <c r="H106" i="1"/>
  <c r="L106" i="1"/>
  <c r="H107" i="1"/>
  <c r="L107" i="1"/>
  <c r="H108" i="1"/>
  <c r="L108" i="1"/>
  <c r="H109" i="1"/>
  <c r="L109" i="1"/>
  <c r="H111" i="1"/>
  <c r="L111" i="1"/>
  <c r="H112" i="1"/>
  <c r="L112" i="1"/>
  <c r="H113" i="1"/>
  <c r="L113" i="1"/>
  <c r="H114" i="1"/>
  <c r="L114" i="1"/>
  <c r="H115" i="1"/>
  <c r="L115" i="1"/>
  <c r="M56" i="1"/>
  <c r="B37" i="3" l="1"/>
  <c r="B51" i="3"/>
  <c r="P121" i="1"/>
  <c r="P119" i="1"/>
  <c r="B36" i="3" s="1"/>
  <c r="P123" i="1"/>
  <c r="P116" i="1"/>
  <c r="P120" i="1"/>
  <c r="P122" i="1"/>
  <c r="P124" i="1"/>
  <c r="P118" i="1"/>
  <c r="P117" i="1"/>
  <c r="P95" i="1"/>
  <c r="P101" i="1"/>
  <c r="P97" i="1"/>
  <c r="P109" i="1"/>
  <c r="P105" i="1"/>
  <c r="P103" i="1"/>
  <c r="P107" i="1"/>
  <c r="P35" i="1"/>
  <c r="P26" i="1"/>
  <c r="P98" i="1"/>
  <c r="P112" i="1"/>
  <c r="P104" i="1"/>
  <c r="P114" i="1"/>
  <c r="P106" i="1"/>
  <c r="P108" i="1"/>
  <c r="P111" i="1"/>
  <c r="P113" i="1"/>
  <c r="P115" i="1"/>
  <c r="P100" i="1"/>
  <c r="P102" i="1"/>
  <c r="P96" i="1"/>
  <c r="B38" i="3" l="1"/>
  <c r="B55" i="3"/>
  <c r="B47" i="3"/>
  <c r="M12" i="1"/>
  <c r="M34" i="1"/>
  <c r="M36" i="1" l="1"/>
  <c r="H80" i="1"/>
  <c r="L80" i="1"/>
  <c r="H81" i="1"/>
  <c r="L81" i="1"/>
  <c r="H83" i="1"/>
  <c r="L83" i="1"/>
  <c r="H84" i="1"/>
  <c r="L84" i="1"/>
  <c r="H85" i="1"/>
  <c r="L85" i="1"/>
  <c r="H86" i="1"/>
  <c r="L86" i="1"/>
  <c r="H87" i="1"/>
  <c r="L87" i="1"/>
  <c r="H88" i="1"/>
  <c r="L88" i="1"/>
  <c r="H89" i="1"/>
  <c r="L89" i="1"/>
  <c r="H90" i="1"/>
  <c r="L90" i="1"/>
  <c r="H91" i="1"/>
  <c r="L91" i="1"/>
  <c r="H92" i="1"/>
  <c r="L92" i="1"/>
  <c r="H93" i="1"/>
  <c r="L93" i="1"/>
  <c r="H94" i="1"/>
  <c r="L94" i="1"/>
  <c r="P86" i="1" l="1"/>
  <c r="P88" i="1"/>
  <c r="P90" i="1"/>
  <c r="P92" i="1"/>
  <c r="P85" i="1"/>
  <c r="P94" i="1"/>
  <c r="P87" i="1"/>
  <c r="P89" i="1"/>
  <c r="P91" i="1"/>
  <c r="P84" i="1"/>
  <c r="P93" i="1"/>
  <c r="B31" i="3" s="1"/>
  <c r="P83" i="1"/>
  <c r="P81" i="1"/>
  <c r="P80" i="1"/>
  <c r="M37" i="1" l="1"/>
  <c r="H69" i="1" l="1"/>
  <c r="L69" i="1"/>
  <c r="H70" i="1"/>
  <c r="L70" i="1"/>
  <c r="L71" i="1"/>
  <c r="H72" i="1"/>
  <c r="L72" i="1"/>
  <c r="H73" i="1"/>
  <c r="L73" i="1"/>
  <c r="H74" i="1"/>
  <c r="L74" i="1"/>
  <c r="H75" i="1"/>
  <c r="L75" i="1"/>
  <c r="H76" i="1"/>
  <c r="L76" i="1"/>
  <c r="H77" i="1"/>
  <c r="L77" i="1"/>
  <c r="H78" i="1"/>
  <c r="L78" i="1"/>
  <c r="H79" i="1"/>
  <c r="L79" i="1"/>
  <c r="P77" i="1" l="1"/>
  <c r="P71" i="1"/>
  <c r="P73" i="1"/>
  <c r="P75" i="1"/>
  <c r="P69" i="1"/>
  <c r="P79" i="1"/>
  <c r="P78" i="1"/>
  <c r="P72" i="1"/>
  <c r="P74" i="1"/>
  <c r="P76" i="1"/>
  <c r="P70" i="1"/>
  <c r="B42" i="3" l="1"/>
  <c r="B35" i="3"/>
  <c r="H48" i="1"/>
  <c r="L48" i="1"/>
  <c r="H49" i="1"/>
  <c r="L49" i="1"/>
  <c r="H50" i="1"/>
  <c r="L50" i="1"/>
  <c r="H51" i="1"/>
  <c r="L51" i="1"/>
  <c r="H52" i="1"/>
  <c r="L52" i="1"/>
  <c r="H53" i="1"/>
  <c r="L53" i="1"/>
  <c r="H54" i="1"/>
  <c r="L54" i="1"/>
  <c r="H55" i="1"/>
  <c r="L55" i="1"/>
  <c r="H56" i="1"/>
  <c r="L56" i="1"/>
  <c r="H57" i="1"/>
  <c r="L57" i="1"/>
  <c r="H58" i="1"/>
  <c r="L58" i="1"/>
  <c r="H59" i="1"/>
  <c r="L59" i="1"/>
  <c r="H60" i="1"/>
  <c r="L60" i="1"/>
  <c r="H61" i="1"/>
  <c r="L61" i="1"/>
  <c r="H62" i="1"/>
  <c r="L62" i="1"/>
  <c r="H63" i="1"/>
  <c r="L63" i="1"/>
  <c r="H64" i="1"/>
  <c r="L64" i="1"/>
  <c r="H65" i="1"/>
  <c r="L65" i="1"/>
  <c r="H66" i="1"/>
  <c r="L66" i="1"/>
  <c r="H67" i="1"/>
  <c r="L67" i="1"/>
  <c r="H68" i="1"/>
  <c r="L68" i="1"/>
  <c r="P59" i="1" l="1"/>
  <c r="P61" i="1"/>
  <c r="P48" i="1"/>
  <c r="P63" i="1"/>
  <c r="P49" i="1"/>
  <c r="B22" i="3" s="1"/>
  <c r="P68" i="1"/>
  <c r="P52" i="1"/>
  <c r="P67" i="1"/>
  <c r="P55" i="1"/>
  <c r="P57" i="1"/>
  <c r="P62" i="1"/>
  <c r="P65" i="1"/>
  <c r="P64" i="1"/>
  <c r="P66" i="1"/>
  <c r="P56" i="1"/>
  <c r="P53" i="1"/>
  <c r="P58" i="1"/>
  <c r="P60" i="1"/>
  <c r="P54" i="1"/>
  <c r="P51" i="1"/>
  <c r="P50" i="1"/>
  <c r="M2" i="1"/>
  <c r="F44" i="1"/>
  <c r="H27" i="1"/>
  <c r="L27" i="1"/>
  <c r="H28" i="1"/>
  <c r="L28" i="1"/>
  <c r="H29" i="1"/>
  <c r="L29" i="1"/>
  <c r="H30" i="1"/>
  <c r="L30" i="1"/>
  <c r="H31" i="1"/>
  <c r="L31" i="1"/>
  <c r="H32" i="1"/>
  <c r="L32" i="1"/>
  <c r="H33" i="1"/>
  <c r="L33" i="1"/>
  <c r="H34" i="1"/>
  <c r="L34" i="1"/>
  <c r="H36" i="1"/>
  <c r="L36" i="1"/>
  <c r="H37" i="1"/>
  <c r="L37" i="1"/>
  <c r="G38" i="1"/>
  <c r="H38" i="1"/>
  <c r="L38" i="1"/>
  <c r="H39" i="1"/>
  <c r="L39" i="1"/>
  <c r="H40" i="1"/>
  <c r="L40" i="1"/>
  <c r="H41" i="1"/>
  <c r="L41" i="1"/>
  <c r="H42" i="1"/>
  <c r="L42" i="1"/>
  <c r="H43" i="1"/>
  <c r="L43" i="1"/>
  <c r="L44" i="1"/>
  <c r="H45" i="1"/>
  <c r="L45" i="1"/>
  <c r="H46" i="1"/>
  <c r="L46" i="1"/>
  <c r="H47" i="1"/>
  <c r="L47" i="1"/>
  <c r="B34" i="3" l="1"/>
  <c r="B29" i="3"/>
  <c r="B28" i="3"/>
  <c r="B50" i="3"/>
  <c r="B24" i="3"/>
  <c r="P46" i="1"/>
  <c r="P38" i="1"/>
  <c r="P29" i="1"/>
  <c r="P45" i="1"/>
  <c r="P37" i="1"/>
  <c r="B17" i="3" s="1"/>
  <c r="P47" i="1"/>
  <c r="P42" i="1"/>
  <c r="P33" i="1"/>
  <c r="P39" i="1"/>
  <c r="P43" i="1"/>
  <c r="P34" i="1"/>
  <c r="P40" i="1"/>
  <c r="P31" i="1"/>
  <c r="P28" i="1"/>
  <c r="P30" i="1"/>
  <c r="P44" i="1"/>
  <c r="P36" i="1"/>
  <c r="P27" i="1"/>
  <c r="P41" i="1"/>
  <c r="P32" i="1"/>
  <c r="H11" i="1"/>
  <c r="L11" i="1"/>
  <c r="G12" i="1"/>
  <c r="H12" i="1"/>
  <c r="L12" i="1"/>
  <c r="H13" i="1"/>
  <c r="L13" i="1"/>
  <c r="H14" i="1"/>
  <c r="L14" i="1"/>
  <c r="H15" i="1"/>
  <c r="L15" i="1"/>
  <c r="H16" i="1"/>
  <c r="L16" i="1"/>
  <c r="H17" i="1"/>
  <c r="L17" i="1"/>
  <c r="H18" i="1"/>
  <c r="L18" i="1"/>
  <c r="H19" i="1"/>
  <c r="L19" i="1"/>
  <c r="H20" i="1"/>
  <c r="L20" i="1"/>
  <c r="H21" i="1"/>
  <c r="L21" i="1"/>
  <c r="H22" i="1"/>
  <c r="L22" i="1"/>
  <c r="H23" i="1"/>
  <c r="L23" i="1"/>
  <c r="H24" i="1"/>
  <c r="L24" i="1"/>
  <c r="H25" i="1"/>
  <c r="L25" i="1"/>
  <c r="L2" i="1"/>
  <c r="H2" i="1"/>
  <c r="L10" i="1"/>
  <c r="H10" i="1"/>
  <c r="L9" i="1"/>
  <c r="H9" i="1"/>
  <c r="L8" i="1"/>
  <c r="H8" i="1"/>
  <c r="L7" i="1"/>
  <c r="H7" i="1"/>
  <c r="L6" i="1"/>
  <c r="H6" i="1"/>
  <c r="L5" i="1"/>
  <c r="H5" i="1"/>
  <c r="L4" i="1"/>
  <c r="H4" i="1"/>
  <c r="L3" i="1"/>
  <c r="H3" i="1"/>
  <c r="B52" i="3" l="1"/>
  <c r="B20" i="3"/>
  <c r="B25" i="3"/>
  <c r="B16" i="3"/>
  <c r="B53" i="3"/>
  <c r="B21" i="3"/>
  <c r="B45" i="3"/>
  <c r="B19" i="3"/>
  <c r="B32" i="3"/>
  <c r="B18" i="3"/>
  <c r="P6" i="1"/>
  <c r="P14" i="1"/>
  <c r="P10" i="1"/>
  <c r="P3" i="1"/>
  <c r="P7" i="1"/>
  <c r="P24" i="1"/>
  <c r="P8" i="1"/>
  <c r="P12" i="1"/>
  <c r="B8" i="3" s="1"/>
  <c r="P11" i="1"/>
  <c r="P16" i="1"/>
  <c r="P2" i="1"/>
  <c r="B2" i="3" s="1"/>
  <c r="P18" i="1"/>
  <c r="P20" i="1"/>
  <c r="P22" i="1"/>
  <c r="B13" i="3" s="1"/>
  <c r="P13" i="1"/>
  <c r="P17" i="1"/>
  <c r="P19" i="1"/>
  <c r="P21" i="1"/>
  <c r="P23" i="1"/>
  <c r="P15" i="1"/>
  <c r="P25" i="1"/>
  <c r="P9" i="1"/>
  <c r="P5" i="1"/>
  <c r="P4" i="1"/>
  <c r="B39" i="3" l="1"/>
  <c r="B40" i="3"/>
  <c r="B56" i="3"/>
  <c r="B26" i="3"/>
  <c r="B14" i="3"/>
  <c r="B23" i="3"/>
  <c r="B4" i="3"/>
  <c r="B27" i="3"/>
  <c r="B5" i="3"/>
  <c r="B44" i="3"/>
  <c r="B12" i="3"/>
  <c r="B30" i="3"/>
  <c r="B33" i="3"/>
  <c r="B46" i="3"/>
  <c r="B7" i="3"/>
  <c r="B9" i="3"/>
  <c r="B15" i="3"/>
  <c r="B3" i="3"/>
  <c r="B10" i="3"/>
  <c r="B11" i="3"/>
  <c r="B6" i="3"/>
</calcChain>
</file>

<file path=xl/comments1.xml><?xml version="1.0" encoding="utf-8"?>
<comments xmlns="http://schemas.openxmlformats.org/spreadsheetml/2006/main">
  <authors>
    <author>Admin</author>
  </authors>
  <commentList>
    <comment ref="M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остаток с 360 евро</t>
        </r>
      </text>
    </comment>
    <comment ref="D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D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</t>
        </r>
      </text>
    </comment>
    <comment ref="E10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</t>
        </r>
      </text>
    </comment>
    <comment ref="E1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exp-shop</t>
        </r>
      </text>
    </comment>
    <comment ref="E1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M1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из 700</t>
        </r>
      </text>
    </comment>
    <comment ref="E1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pl</t>
        </r>
      </text>
    </comment>
    <comment ref="E1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pl</t>
        </r>
      </text>
    </comment>
    <comment ref="M1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старый баланс</t>
        </r>
      </text>
    </comment>
    <comment ref="E20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pl</t>
        </r>
      </text>
    </comment>
    <comment ref="E2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M24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возврат zara </t>
        </r>
      </text>
    </comment>
    <comment ref="E2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3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исп</t>
        </r>
      </text>
    </comment>
    <comment ref="E3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исп</t>
        </r>
      </text>
    </comment>
    <comment ref="E40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es</t>
        </r>
      </text>
    </comment>
    <comment ref="E4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гер</t>
        </r>
      </text>
    </comment>
    <comment ref="M4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старій баланс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es</t>
        </r>
      </text>
    </comment>
    <comment ref="E51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it</t>
        </r>
      </text>
    </comment>
    <comment ref="E5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</t>
        </r>
      </text>
    </comment>
    <comment ref="E5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6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6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7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8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F8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евро</t>
        </r>
      </text>
    </comment>
    <comment ref="E8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8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9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9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0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0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pl</t>
        </r>
      </text>
    </comment>
    <comment ref="E10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0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10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11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1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11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</t>
        </r>
      </text>
    </comment>
    <comment ref="E11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20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M120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тамоня очки</t>
        </r>
      </text>
    </comment>
    <comment ref="E12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2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M12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saks</t>
        </r>
      </text>
    </comment>
    <comment ref="M12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корзина габарит</t>
        </r>
      </text>
    </comment>
    <comment ref="E12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2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4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4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44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engl</t>
        </r>
      </text>
    </comment>
    <comment ref="E146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engl</t>
        </r>
      </text>
    </comment>
    <comment ref="E147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engl</t>
        </r>
      </text>
    </comment>
    <comment ref="E15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M16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старый баланс</t>
        </r>
      </text>
    </comment>
    <comment ref="E16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7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7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7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17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184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engl</t>
        </r>
      </text>
    </comment>
    <comment ref="E186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engl</t>
        </r>
      </text>
    </comment>
    <comment ref="E18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193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it</t>
        </r>
      </text>
    </comment>
    <comment ref="I19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по Максима карте приват</t>
        </r>
      </text>
    </comment>
    <comment ref="E19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19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20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0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20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207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it</t>
        </r>
      </text>
    </comment>
    <comment ref="E208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fr</t>
        </r>
      </text>
    </comment>
    <comment ref="E209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gb</t>
        </r>
      </text>
    </comment>
    <comment ref="M210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косметика</t>
        </r>
      </text>
    </comment>
    <comment ref="E211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gb</t>
        </r>
      </text>
    </comment>
    <comment ref="E212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ger</t>
        </r>
      </text>
    </comment>
    <comment ref="E218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es</t>
        </r>
      </text>
    </comment>
    <comment ref="E22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I22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кактус</t>
        </r>
      </text>
    </comment>
    <comment ref="E22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23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гер</t>
        </r>
      </text>
    </comment>
    <comment ref="E235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23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3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23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3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24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ger</t>
        </r>
      </text>
    </comment>
    <comment ref="E24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ger</t>
        </r>
      </text>
    </comment>
    <comment ref="E24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25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5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25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26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26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26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engl</t>
        </r>
      </text>
    </comment>
    <comment ref="E27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27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287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get</t>
        </r>
      </text>
    </comment>
    <comment ref="M29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косметика</t>
        </r>
      </text>
    </comment>
    <comment ref="E29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300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30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31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it</t>
        </r>
      </text>
    </comment>
    <comment ref="E33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4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47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48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es</t>
        </r>
      </text>
    </comment>
    <comment ref="E34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56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6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62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63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64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71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73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it</t>
        </r>
      </text>
    </comment>
    <comment ref="E37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англ</t>
        </r>
      </text>
    </comment>
    <comment ref="E380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англ</t>
        </r>
      </text>
    </comment>
    <comment ref="E392" author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гер</t>
        </r>
      </text>
    </comment>
  </commentList>
</comments>
</file>

<file path=xl/sharedStrings.xml><?xml version="1.0" encoding="utf-8"?>
<sst xmlns="http://schemas.openxmlformats.org/spreadsheetml/2006/main" count="1856" uniqueCount="847">
  <si>
    <t>Дата</t>
  </si>
  <si>
    <t>Магазин</t>
  </si>
  <si>
    <t>Клиент</t>
  </si>
  <si>
    <t>Номер заказа</t>
  </si>
  <si>
    <t>Шип</t>
  </si>
  <si>
    <t xml:space="preserve">Цена </t>
  </si>
  <si>
    <t>4%</t>
  </si>
  <si>
    <t>10%</t>
  </si>
  <si>
    <t>Сертификат в профит</t>
  </si>
  <si>
    <t xml:space="preserve">Дата разбора </t>
  </si>
  <si>
    <t>Вес, кг</t>
  </si>
  <si>
    <t xml:space="preserve">Вес стоимость usd </t>
  </si>
  <si>
    <t xml:space="preserve">Оплата сумма USD </t>
  </si>
  <si>
    <t>Дата оплаты USD</t>
  </si>
  <si>
    <t xml:space="preserve">Дата выдачи  </t>
  </si>
  <si>
    <t xml:space="preserve">                                                                   </t>
  </si>
  <si>
    <t>Примечание</t>
  </si>
  <si>
    <t>zara</t>
  </si>
  <si>
    <t>Katya Pekar</t>
  </si>
  <si>
    <t>52453171161</t>
  </si>
  <si>
    <t>Номер коробки</t>
  </si>
  <si>
    <t>Вес</t>
  </si>
  <si>
    <t>Дата вылета</t>
  </si>
  <si>
    <t>Стоимость</t>
  </si>
  <si>
    <t>Дата разбора</t>
  </si>
  <si>
    <t>ES від 31.05.2022 -8464071</t>
  </si>
  <si>
    <t>Авіа від 31.05.2022 -1900656</t>
  </si>
  <si>
    <t xml:space="preserve"> Авіа від 01.06.2022 -1902266</t>
  </si>
  <si>
    <t xml:space="preserve">Рузанна </t>
  </si>
  <si>
    <t xml:space="preserve">MyTheresa </t>
  </si>
  <si>
    <t>Авіа від 02.06.2022 -1904530</t>
  </si>
  <si>
    <t>111-8722828-2874620</t>
  </si>
  <si>
    <t>Давиденко Оксана</t>
  </si>
  <si>
    <t>6pm</t>
  </si>
  <si>
    <t>Авіа від 06.06.2022 -1907163</t>
  </si>
  <si>
    <t>Авіа від 07.06.2022 -1908082</t>
  </si>
  <si>
    <t xml:space="preserve"> Італія від 07.06.2022 -7070483</t>
  </si>
  <si>
    <t>00729699</t>
  </si>
  <si>
    <t>villeroy</t>
  </si>
  <si>
    <t>Паповская Оксана</t>
  </si>
  <si>
    <t>23-08727-32514</t>
  </si>
  <si>
    <t>ebay</t>
  </si>
  <si>
    <t>Бараненко Ростислав</t>
  </si>
  <si>
    <t>52912343638</t>
  </si>
  <si>
    <t>Кожемякин Алексей</t>
  </si>
  <si>
    <t>515737</t>
  </si>
  <si>
    <t>toyotaparts</t>
  </si>
  <si>
    <t>sandro-paris</t>
  </si>
  <si>
    <t>147074383</t>
  </si>
  <si>
    <t>tedbaker</t>
  </si>
  <si>
    <t>A045667514</t>
  </si>
  <si>
    <t>uniqlo</t>
  </si>
  <si>
    <t>Авіа від 09.06.2022 -1909675</t>
  </si>
  <si>
    <t>ES від 12.06.2022 -8465953</t>
  </si>
  <si>
    <t>DE від 07.06.2022 -6210794</t>
  </si>
  <si>
    <t>Польща від 07.06.2022 -5217440</t>
  </si>
  <si>
    <t>86533</t>
  </si>
  <si>
    <t>Tala</t>
  </si>
  <si>
    <t>ralph</t>
  </si>
  <si>
    <t>1406Y52692202A</t>
  </si>
  <si>
    <t>Yoox</t>
  </si>
  <si>
    <t>Муря</t>
  </si>
  <si>
    <t>30063043007</t>
  </si>
  <si>
    <t>massimo</t>
  </si>
  <si>
    <t>Вита Приходько</t>
  </si>
  <si>
    <t>52466129943</t>
  </si>
  <si>
    <t>Англія від 12.06.2022 -4506201</t>
  </si>
  <si>
    <t>Авіа від 14.06.2022 -1914839</t>
  </si>
  <si>
    <t>EU12473594</t>
  </si>
  <si>
    <t>Непряхина Оксана</t>
  </si>
  <si>
    <t>amazon</t>
  </si>
  <si>
    <t>111-6671397-4946606</t>
  </si>
  <si>
    <t>30063303217</t>
  </si>
  <si>
    <t>15-08755-94892  +  15-08755-94893 +  15-08755-94891</t>
  </si>
  <si>
    <t>25-08757-17897</t>
  </si>
  <si>
    <t>EU00597943</t>
  </si>
  <si>
    <t>Иванова Лена</t>
  </si>
  <si>
    <t>Lululemon</t>
  </si>
  <si>
    <t>1176397060</t>
  </si>
  <si>
    <t>cos</t>
  </si>
  <si>
    <t>112-4970038-3197804</t>
  </si>
  <si>
    <t>Nataleto</t>
  </si>
  <si>
    <t>Авіа від 16.06.2022 -1916728</t>
  </si>
  <si>
    <t>1175559270</t>
  </si>
  <si>
    <t>NikaSKS</t>
  </si>
  <si>
    <t>ES від 17.06.2022 -8467254</t>
  </si>
  <si>
    <t>Авіа від 17.06.2022 -1917845</t>
  </si>
  <si>
    <t xml:space="preserve">gap </t>
  </si>
  <si>
    <t>1VC525N</t>
  </si>
  <si>
    <t>Юханова Анфиса</t>
  </si>
  <si>
    <t>80045587615</t>
  </si>
  <si>
    <t>zarahome</t>
  </si>
  <si>
    <t>15-08766-24670</t>
  </si>
  <si>
    <t>80045812151</t>
  </si>
  <si>
    <t>862-236-5550</t>
  </si>
  <si>
    <t>supergoop</t>
  </si>
  <si>
    <t>vs</t>
  </si>
  <si>
    <t>W080410820</t>
  </si>
  <si>
    <t>76R6SG</t>
  </si>
  <si>
    <t>farfetch</t>
  </si>
  <si>
    <t>stefanoricci</t>
  </si>
  <si>
    <t>111-5327430-0910613</t>
  </si>
  <si>
    <t>30063648029</t>
  </si>
  <si>
    <t xml:space="preserve">1527338216974 </t>
  </si>
  <si>
    <t>Шаркова Наталья</t>
  </si>
  <si>
    <t>ssence</t>
  </si>
  <si>
    <t>Авіа від 21.06.2022 -1920514</t>
  </si>
  <si>
    <t>74046491</t>
  </si>
  <si>
    <t>CK</t>
  </si>
  <si>
    <t>Алиса Павленко</t>
  </si>
  <si>
    <t>8203570013</t>
  </si>
  <si>
    <t>86958</t>
  </si>
  <si>
    <t>37763</t>
  </si>
  <si>
    <t>1182597020</t>
  </si>
  <si>
    <t>52477158617</t>
  </si>
  <si>
    <t>112-0288558-6472241</t>
  </si>
  <si>
    <t>Шальнева</t>
  </si>
  <si>
    <t>112-9218063-6922661</t>
  </si>
  <si>
    <t>UKMNJDGIC</t>
  </si>
  <si>
    <t>Киван Виктория</t>
  </si>
  <si>
    <t>emeraldlabs</t>
  </si>
  <si>
    <t>Авіа від 23.06.2022 -1923514</t>
  </si>
  <si>
    <t>Авіа від 24.06.2022 -1924294</t>
  </si>
  <si>
    <t>Італія від 25.06.2022 -7070870</t>
  </si>
  <si>
    <t>ES від 25.06.2022 -8468142</t>
  </si>
  <si>
    <t xml:space="preserve"> ES від 29.06.2022 -8468663</t>
  </si>
  <si>
    <t>Бовра Денис</t>
  </si>
  <si>
    <t>028-0567754-5985911</t>
  </si>
  <si>
    <t>Польща від 25.06.2022 -5221304</t>
  </si>
  <si>
    <t>Авіа від 28.06.2022 -1927640</t>
  </si>
  <si>
    <t>Англія від 27.06.2022 -4509158</t>
  </si>
  <si>
    <t>08-08813-17839</t>
  </si>
  <si>
    <t>Ружицкий Костя</t>
  </si>
  <si>
    <t>52935427840</t>
  </si>
  <si>
    <t>Авіа від 30.06.2022-1929488</t>
  </si>
  <si>
    <t>Авіа від 01.07.2022 -1930600</t>
  </si>
  <si>
    <t>0307Y8FC32238F</t>
  </si>
  <si>
    <t>Базарова Ирина</t>
  </si>
  <si>
    <t>1VH6XR1</t>
  </si>
  <si>
    <t>marella</t>
  </si>
  <si>
    <t>5000110164</t>
  </si>
  <si>
    <t>Конева Мария</t>
  </si>
  <si>
    <t>agentprovocateur</t>
  </si>
  <si>
    <t>1186486990</t>
  </si>
  <si>
    <t>73413602</t>
  </si>
  <si>
    <t>Денис Милченко</t>
  </si>
  <si>
    <t>1VHH4L1</t>
  </si>
  <si>
    <t>Авіа від 04.07.2022 -1931922</t>
  </si>
  <si>
    <t>Авіа від 05.07.2022 -1933035</t>
  </si>
  <si>
    <t>Італія від 05.07.2022 -7071196</t>
  </si>
  <si>
    <t>ES від 07.07.2022 -8469957</t>
  </si>
  <si>
    <t>74350303</t>
  </si>
  <si>
    <t>tommy</t>
  </si>
  <si>
    <t>Дмитрий Швец</t>
  </si>
  <si>
    <t>74357291</t>
  </si>
  <si>
    <t>87245</t>
  </si>
  <si>
    <t>macys</t>
  </si>
  <si>
    <t>30064957467</t>
  </si>
  <si>
    <t>Таня Заботкина</t>
  </si>
  <si>
    <t>Авіа від 07.07.2022 -1935854</t>
  </si>
  <si>
    <t>Авіа від 08.07.2022 -1937880</t>
  </si>
  <si>
    <t>ES від 10.07.2022 -8470475</t>
  </si>
  <si>
    <t>DE від 10.07.2022 -6214247</t>
  </si>
  <si>
    <t>07-08852-32028</t>
  </si>
  <si>
    <t>Авіа від 11.07.2022 -1939357</t>
  </si>
  <si>
    <t>111-8401244-9885802</t>
  </si>
  <si>
    <t>Анечка 23</t>
  </si>
  <si>
    <t>2 из 3</t>
  </si>
  <si>
    <t xml:space="preserve">5 из 6 </t>
  </si>
  <si>
    <t>5622603185</t>
  </si>
  <si>
    <t>1 из 4</t>
  </si>
  <si>
    <t>exp-shop</t>
  </si>
  <si>
    <t>47075-91</t>
  </si>
  <si>
    <t>1507YBFF622382</t>
  </si>
  <si>
    <t>52491482995</t>
  </si>
  <si>
    <t>2207HTNXG</t>
  </si>
  <si>
    <t>ifchic</t>
  </si>
  <si>
    <t>52505478851</t>
  </si>
  <si>
    <t>52506061847 + 52506046119</t>
  </si>
  <si>
    <t>217766</t>
  </si>
  <si>
    <t>runawaythelabel</t>
  </si>
  <si>
    <t>8662</t>
  </si>
  <si>
    <t>loversanddrifters</t>
  </si>
  <si>
    <t>ES від 14.07.2022 -8472175</t>
  </si>
  <si>
    <t>Авіа від 12.07.2022 -1942999</t>
  </si>
  <si>
    <t>Viviana</t>
  </si>
  <si>
    <t>Авіа від 14.07.2022 -1945515</t>
  </si>
  <si>
    <t>1194470320</t>
  </si>
  <si>
    <t>1194479540</t>
  </si>
  <si>
    <t>VS</t>
  </si>
  <si>
    <t>W081806343</t>
  </si>
  <si>
    <t>Авіа від 15.07.2022 -1945868</t>
  </si>
  <si>
    <t>5622635368</t>
  </si>
  <si>
    <t>74510389</t>
  </si>
  <si>
    <t>74545038</t>
  </si>
  <si>
    <t>Крестина Алена</t>
  </si>
  <si>
    <t>30120025479</t>
  </si>
  <si>
    <t xml:space="preserve">baldinini </t>
  </si>
  <si>
    <t>52509359407</t>
  </si>
  <si>
    <t>Ольга Палстун</t>
  </si>
  <si>
    <t>Zara</t>
  </si>
  <si>
    <t>1563106293634</t>
  </si>
  <si>
    <t>1645884834</t>
  </si>
  <si>
    <t>dyson</t>
  </si>
  <si>
    <t>47218-91</t>
  </si>
  <si>
    <t>4J5LBS</t>
  </si>
  <si>
    <t>ami</t>
  </si>
  <si>
    <t>ES від 17.07.2022 -8475464</t>
  </si>
  <si>
    <t>Англія від 18.07.2022 -4514203</t>
  </si>
  <si>
    <t>Італія від 12.07.2022 -7071637</t>
  </si>
  <si>
    <t>2307ZAMCV2238M</t>
  </si>
  <si>
    <t>net-a-porte</t>
  </si>
  <si>
    <t>487220569</t>
  </si>
  <si>
    <t>intrend</t>
  </si>
  <si>
    <t>114-3797084-3927438</t>
  </si>
  <si>
    <t>NM</t>
  </si>
  <si>
    <t>WN20329072585</t>
  </si>
  <si>
    <t>12875</t>
  </si>
  <si>
    <t>letoyvan</t>
  </si>
  <si>
    <t>11036677 + 109765915</t>
  </si>
  <si>
    <t>Loropiano</t>
  </si>
  <si>
    <t>109765915</t>
  </si>
  <si>
    <t>chantelle</t>
  </si>
  <si>
    <t>DFFJKY</t>
  </si>
  <si>
    <t>74632811</t>
  </si>
  <si>
    <t>RB025429726</t>
  </si>
  <si>
    <t>Алена 22</t>
  </si>
  <si>
    <t xml:space="preserve">reebok </t>
  </si>
  <si>
    <t>60017337087</t>
  </si>
  <si>
    <t>oysho</t>
  </si>
  <si>
    <t>US-13630119</t>
  </si>
  <si>
    <t>underarmour</t>
  </si>
  <si>
    <t>Санков Сергей</t>
  </si>
  <si>
    <t>2607Y70AB22386</t>
  </si>
  <si>
    <t>D6L3JZ</t>
  </si>
  <si>
    <t>mango</t>
  </si>
  <si>
    <t>W082676525</t>
  </si>
  <si>
    <t>KU87VJ</t>
  </si>
  <si>
    <t>Авіа від 19.07.2022 -1948752</t>
  </si>
  <si>
    <t>Авіа від 21.07.2022 -1950980</t>
  </si>
  <si>
    <t>Авіа від 25.07.2022 -1953573</t>
  </si>
  <si>
    <t>80027478030</t>
  </si>
  <si>
    <t>Авіа від 26.07.2022 -1955514</t>
  </si>
  <si>
    <t>30066202821</t>
  </si>
  <si>
    <t>Авіа від 28.07.2022 -1956497</t>
  </si>
  <si>
    <t>ES від 26.07.2022 -8477294</t>
  </si>
  <si>
    <t>carters</t>
  </si>
  <si>
    <t>CAR84031656</t>
  </si>
  <si>
    <t>Romashka</t>
  </si>
  <si>
    <t>80027738676</t>
  </si>
  <si>
    <t>kimseybert</t>
  </si>
  <si>
    <t xml:space="preserve">zealzeal </t>
  </si>
  <si>
    <t>N95325N4F</t>
  </si>
  <si>
    <t>0108Y167E22028</t>
  </si>
  <si>
    <t>Авіа від 29.07.2022 -1958541</t>
  </si>
  <si>
    <t>MTPCZJFE5 + 18113</t>
  </si>
  <si>
    <t>04-08936-93786</t>
  </si>
  <si>
    <t xml:space="preserve"> 113-5821356-6927452</t>
  </si>
  <si>
    <t>113-0233078-5437028</t>
  </si>
  <si>
    <t>3327597</t>
  </si>
  <si>
    <t>jwpei</t>
  </si>
  <si>
    <t>113-7732778-3187446</t>
  </si>
  <si>
    <t>Мезенцева Оксана</t>
  </si>
  <si>
    <t>zappos</t>
  </si>
  <si>
    <t>113-1801499-1271416</t>
  </si>
  <si>
    <t xml:space="preserve"> INT-18359</t>
  </si>
  <si>
    <t>kongessloejd</t>
  </si>
  <si>
    <t>100999266</t>
  </si>
  <si>
    <t>Юрина Елена</t>
  </si>
  <si>
    <t xml:space="preserve">asda </t>
  </si>
  <si>
    <t>P2500483379</t>
  </si>
  <si>
    <t xml:space="preserve">childrensalonoutlet </t>
  </si>
  <si>
    <t>52524653935</t>
  </si>
  <si>
    <t>143728664</t>
  </si>
  <si>
    <t>Alena from Velichko</t>
  </si>
  <si>
    <t>levis</t>
  </si>
  <si>
    <t>44924488130</t>
  </si>
  <si>
    <t>HM</t>
  </si>
  <si>
    <t>N2U7SX</t>
  </si>
  <si>
    <t>harrods</t>
  </si>
  <si>
    <t xml:space="preserve">childrensalon </t>
  </si>
  <si>
    <t>2503995233 + 96943533</t>
  </si>
  <si>
    <t>ateliernewyork</t>
  </si>
  <si>
    <t>113-8999214-2311462</t>
  </si>
  <si>
    <t>WN20432505012</t>
  </si>
  <si>
    <t>YHVCQQ</t>
  </si>
  <si>
    <t>80027900662</t>
  </si>
  <si>
    <t>Тарасевич</t>
  </si>
  <si>
    <t>bstn</t>
  </si>
  <si>
    <t>18000123760</t>
  </si>
  <si>
    <t>US11493951</t>
  </si>
  <si>
    <t>diesel</t>
  </si>
  <si>
    <t>80027958792</t>
  </si>
  <si>
    <t>00190-US60631325</t>
  </si>
  <si>
    <t>ulochka</t>
  </si>
  <si>
    <t>puma</t>
  </si>
  <si>
    <t>Авіа від 03.08.2022 -1960093</t>
  </si>
  <si>
    <t>Авіа від 04.08.2022 -1962686</t>
  </si>
  <si>
    <t>CC86A1VPU + 19513</t>
  </si>
  <si>
    <t xml:space="preserve"> Італія від 06.08.2022 -7072937</t>
  </si>
  <si>
    <t>ES від 06.08.2022 -8483138</t>
  </si>
  <si>
    <t>Англія від 07.08.2022 -4519949</t>
  </si>
  <si>
    <t>113-5053775-7401856</t>
  </si>
  <si>
    <t>1 из 3</t>
  </si>
  <si>
    <t>W02343623</t>
  </si>
  <si>
    <t>74945913</t>
  </si>
  <si>
    <t>stonewallkitchen</t>
  </si>
  <si>
    <t>15835</t>
  </si>
  <si>
    <t>livlyclothing</t>
  </si>
  <si>
    <t>39892</t>
  </si>
  <si>
    <t>juliska</t>
  </si>
  <si>
    <t>WN20470035182</t>
  </si>
  <si>
    <t>brunellocucinelli</t>
  </si>
  <si>
    <t>203-0839855-8994741</t>
  </si>
  <si>
    <t>8B5RLP</t>
  </si>
  <si>
    <t xml:space="preserve">германия </t>
  </si>
  <si>
    <t>НП</t>
  </si>
  <si>
    <t>08-08975-40855</t>
  </si>
  <si>
    <t>863995197</t>
  </si>
  <si>
    <t>thewhitecompany</t>
  </si>
  <si>
    <t>322243707278</t>
  </si>
  <si>
    <t>williams</t>
  </si>
  <si>
    <t>113-3853602-6753851</t>
  </si>
  <si>
    <t>Irada</t>
  </si>
  <si>
    <t>112-8008281-2909866</t>
  </si>
  <si>
    <t>779110 + 2504006320</t>
  </si>
  <si>
    <t>352704843</t>
  </si>
  <si>
    <t>harveynichols</t>
  </si>
  <si>
    <t>Саша мама</t>
  </si>
  <si>
    <t>899C5750+03883719</t>
  </si>
  <si>
    <t>Авіа від 10.08.2022 -1963062</t>
  </si>
  <si>
    <t>ES від 09.08.2022 -8484619</t>
  </si>
  <si>
    <t>WN20495433695</t>
  </si>
  <si>
    <t>100529659</t>
  </si>
  <si>
    <t>eberjey</t>
  </si>
  <si>
    <t>GE2683455240NL</t>
  </si>
  <si>
    <t>laperla</t>
  </si>
  <si>
    <t>hermes</t>
  </si>
  <si>
    <t>297622032</t>
  </si>
  <si>
    <t>saks</t>
  </si>
  <si>
    <t>elegantbaby</t>
  </si>
  <si>
    <t>Авіа від 11.08.2022 -1964994</t>
  </si>
  <si>
    <t>H010441CB8+1311965598</t>
  </si>
  <si>
    <t>2513719+38352</t>
  </si>
  <si>
    <t>1 из 2</t>
  </si>
  <si>
    <t>Італія від 14.08.2022 -7073807</t>
  </si>
  <si>
    <t>ES від 14.08.2022 -8487425</t>
  </si>
  <si>
    <t>EU1224</t>
  </si>
  <si>
    <t>milkyplant</t>
  </si>
  <si>
    <t>26-08987-65569</t>
  </si>
  <si>
    <t>113-0464061-3150644</t>
  </si>
  <si>
    <t>106-7200372-4168257 +  112-9408876-0927406</t>
  </si>
  <si>
    <t>mikihouse</t>
  </si>
  <si>
    <t>2811d50e+1073</t>
  </si>
  <si>
    <t>potterybarnkids</t>
  </si>
  <si>
    <t>413194878</t>
  </si>
  <si>
    <t>molton</t>
  </si>
  <si>
    <t>113-8286410-2303423</t>
  </si>
  <si>
    <t>3000477203</t>
  </si>
  <si>
    <t>rdxsports</t>
  </si>
  <si>
    <t>5000118989</t>
  </si>
  <si>
    <t xml:space="preserve">agentprovocateur </t>
  </si>
  <si>
    <t>peserico</t>
  </si>
  <si>
    <t>4RS73246FS953003W</t>
  </si>
  <si>
    <t xml:space="preserve">hermes </t>
  </si>
  <si>
    <t>56189190330 + 1744</t>
  </si>
  <si>
    <t>GTKT2Z + 4UGTLS +D4HQ7Y</t>
  </si>
  <si>
    <t>9W9BC8</t>
  </si>
  <si>
    <t>Авіа від 15.08.2022 -1968284</t>
  </si>
  <si>
    <t>701045334</t>
  </si>
  <si>
    <t xml:space="preserve">adolfodominguez </t>
  </si>
  <si>
    <t>112-0308419-6101854</t>
  </si>
  <si>
    <t>1B1MDG1</t>
  </si>
  <si>
    <t>oldnavy</t>
  </si>
  <si>
    <t>75089777</t>
  </si>
  <si>
    <t>С00991725978</t>
  </si>
  <si>
    <t>nike</t>
  </si>
  <si>
    <t>2504014719</t>
  </si>
  <si>
    <t>childrensalon</t>
  </si>
  <si>
    <t>US00095322</t>
  </si>
  <si>
    <t>monnolisa</t>
  </si>
  <si>
    <t>P2500493342</t>
  </si>
  <si>
    <t>childrensalonoutlet</t>
  </si>
  <si>
    <t>11050545</t>
  </si>
  <si>
    <t>loropiana</t>
  </si>
  <si>
    <t>Авіа від 16.08.2022 -1971886</t>
  </si>
  <si>
    <t>30120028533</t>
  </si>
  <si>
    <t>13229103</t>
  </si>
  <si>
    <t>mytheresa</t>
  </si>
  <si>
    <t>4236333131</t>
  </si>
  <si>
    <t>aveda</t>
  </si>
  <si>
    <t>GE2708123795NL</t>
  </si>
  <si>
    <t>4238045970</t>
  </si>
  <si>
    <t>M69G4L</t>
  </si>
  <si>
    <t>SFHAUDRXE</t>
  </si>
  <si>
    <t>bambinifashion</t>
  </si>
  <si>
    <t>2504015867</t>
  </si>
  <si>
    <t>JQCVLE</t>
  </si>
  <si>
    <t>Англія від 15.08.2022 -4522295</t>
  </si>
  <si>
    <t xml:space="preserve">18923952	</t>
  </si>
  <si>
    <t>Авіа від 18.08.2022 -1972611</t>
  </si>
  <si>
    <t>Авіа від 19.08.2022 -1973992</t>
  </si>
  <si>
    <t>ES від 16.08.2022 -8489312</t>
  </si>
  <si>
    <t>Авіа від 22.08.2022 -1976562</t>
  </si>
  <si>
    <t>1 из2</t>
  </si>
  <si>
    <t>524288870</t>
  </si>
  <si>
    <t xml:space="preserve">intrend </t>
  </si>
  <si>
    <t>US00095580</t>
  </si>
  <si>
    <t>ES11440731</t>
  </si>
  <si>
    <t>REXJ72+9W2JW8</t>
  </si>
  <si>
    <t>ES11440838</t>
  </si>
  <si>
    <t>30028360390</t>
  </si>
  <si>
    <t>audrew</t>
  </si>
  <si>
    <t>derek-rose</t>
  </si>
  <si>
    <t>JQ97XE</t>
  </si>
  <si>
    <t>1317951</t>
  </si>
  <si>
    <t>cettire</t>
  </si>
  <si>
    <t>88266</t>
  </si>
  <si>
    <t>Леся Грин</t>
  </si>
  <si>
    <t xml:space="preserve"> Авіа від 23.08.2022 -197857</t>
  </si>
  <si>
    <t>Англія від 23.08.2022 -4523644</t>
  </si>
  <si>
    <t>BASE001BLA+100112794</t>
  </si>
  <si>
    <t>30120029231</t>
  </si>
  <si>
    <t>17-09027-74286</t>
  </si>
  <si>
    <t>Никита Басюк</t>
  </si>
  <si>
    <t>250939</t>
  </si>
  <si>
    <t>wildnutrition</t>
  </si>
  <si>
    <t>336472124114</t>
  </si>
  <si>
    <t>modaoperandi</t>
  </si>
  <si>
    <t>428981603</t>
  </si>
  <si>
    <t>cultbeauty</t>
  </si>
  <si>
    <t>liewood</t>
  </si>
  <si>
    <t>00190-US60849061</t>
  </si>
  <si>
    <t>3008Z4FXV2238J</t>
  </si>
  <si>
    <t>mrporter</t>
  </si>
  <si>
    <t>000067073</t>
  </si>
  <si>
    <t>donsje</t>
  </si>
  <si>
    <t xml:space="preserve">5953230 </t>
  </si>
  <si>
    <t>Charlotte Tilbury</t>
  </si>
  <si>
    <t>60018391131</t>
  </si>
  <si>
    <t>3108YA97A22380</t>
  </si>
  <si>
    <t xml:space="preserve">1611900819634 </t>
  </si>
  <si>
    <t>112-3457314-3380211</t>
  </si>
  <si>
    <t>0109Y0DA622381</t>
  </si>
  <si>
    <t>24-09060-57308</t>
  </si>
  <si>
    <t>0109Y17AE22381</t>
  </si>
  <si>
    <t>2C652592MD688001C+200027062</t>
  </si>
  <si>
    <t>Авіа від 25.08.2022 -1980273</t>
  </si>
  <si>
    <t>Авіа від 26.08.2022 -1981632</t>
  </si>
  <si>
    <t>Авіа від 29.08.2022 -1983628</t>
  </si>
  <si>
    <t>Авіа від 30.08.2022 -1985182</t>
  </si>
  <si>
    <t>Англія від 30.08.2022 -4525272</t>
  </si>
  <si>
    <t>Авіа від 01.09.2022 -1987334</t>
  </si>
  <si>
    <t xml:space="preserve">2 из 5 </t>
  </si>
  <si>
    <t>1 тз 4</t>
  </si>
  <si>
    <t>гемания</t>
  </si>
  <si>
    <t xml:space="preserve">1 из 3 </t>
  </si>
  <si>
    <t>69264</t>
  </si>
  <si>
    <t>kenonhobby</t>
  </si>
  <si>
    <t>X102074801</t>
  </si>
  <si>
    <t>alexandalexa</t>
  </si>
  <si>
    <t>RE37G2</t>
  </si>
  <si>
    <t>Авіа від 02.09.2022 -1989310</t>
  </si>
  <si>
    <t>384271759</t>
  </si>
  <si>
    <t>1617632321584</t>
  </si>
  <si>
    <t>68276482+143916662</t>
  </si>
  <si>
    <t>0709YDE9A22382</t>
  </si>
  <si>
    <t>Італія від 03.09.2022 -7074304</t>
  </si>
  <si>
    <t>ES від 03.09.2022 -8491765</t>
  </si>
  <si>
    <t>1251</t>
  </si>
  <si>
    <t>Alisa Nails</t>
  </si>
  <si>
    <t>03-09078-49486</t>
  </si>
  <si>
    <t>Kassandrochka</t>
  </si>
  <si>
    <t>112-8880946-1804268</t>
  </si>
  <si>
    <t>Nadine Palamarchuk</t>
  </si>
  <si>
    <t>Intrend</t>
  </si>
  <si>
    <t>30028993566</t>
  </si>
  <si>
    <t>W000183602</t>
  </si>
  <si>
    <t>americanvintage</t>
  </si>
  <si>
    <t>80029095850</t>
  </si>
  <si>
    <t>P2500504830</t>
  </si>
  <si>
    <t xml:space="preserve"> 111-6120919-4821852</t>
  </si>
  <si>
    <t>feelunique</t>
  </si>
  <si>
    <t>BFV4ZC</t>
  </si>
  <si>
    <t>114-9131829-1029027</t>
  </si>
  <si>
    <t>NQ5PJX</t>
  </si>
  <si>
    <t>112-5053100-759786</t>
  </si>
  <si>
    <t>Авіа від 08.09.2022 -1989505</t>
  </si>
  <si>
    <t>Авіа від 09.09.2022 -1991161</t>
  </si>
  <si>
    <t>543918529+543453320</t>
  </si>
  <si>
    <t>01-09092-84426 + 01-09092-84427 + 01-09092-84428</t>
  </si>
  <si>
    <t>Італія від 07.09.2022 -7074689</t>
  </si>
  <si>
    <t>ES від 10.09.2022 -8493824</t>
  </si>
  <si>
    <t>Англія від 10.09.2022 -4526663</t>
  </si>
  <si>
    <t>Авіа від 12.09.2022 -1993008</t>
  </si>
  <si>
    <t>V75YRR</t>
  </si>
  <si>
    <t>IENG1000006131</t>
  </si>
  <si>
    <t>Яременко Алена</t>
  </si>
  <si>
    <t>inna-glas</t>
  </si>
  <si>
    <t>GE2792667831NL</t>
  </si>
  <si>
    <t>BY Far</t>
  </si>
  <si>
    <t xml:space="preserve"> 08-09103-60520</t>
  </si>
  <si>
    <t>21-09097-30540</t>
  </si>
  <si>
    <t>53004570416</t>
  </si>
  <si>
    <t>A046562960</t>
  </si>
  <si>
    <t>1309YD24A22384</t>
  </si>
  <si>
    <t>Лариса К</t>
  </si>
  <si>
    <t>05-09098-53768</t>
  </si>
  <si>
    <t>Авіа від 13.09.2022 -1994494</t>
  </si>
  <si>
    <t>terek</t>
  </si>
  <si>
    <t>1509YB4E222385</t>
  </si>
  <si>
    <t>DE від 14.09.2022 -6221266</t>
  </si>
  <si>
    <t>xtory</t>
  </si>
  <si>
    <t xml:space="preserve"> ES від 14.09.2022 -8494811</t>
  </si>
  <si>
    <t>Авіа від 15.09.2022 -1995603</t>
  </si>
  <si>
    <t>112-8127184-3663451</t>
  </si>
  <si>
    <t>kate</t>
  </si>
  <si>
    <t>W084910928</t>
  </si>
  <si>
    <t>6FJ5D7</t>
  </si>
  <si>
    <t>1709ZETSX2238M</t>
  </si>
  <si>
    <t>GLO096717910</t>
  </si>
  <si>
    <t>Glocier</t>
  </si>
  <si>
    <t>53009023736</t>
  </si>
  <si>
    <t>204-8793647-9450709 +  204-8219528-0122725</t>
  </si>
  <si>
    <t>120273</t>
  </si>
  <si>
    <t>parafarmacia</t>
  </si>
  <si>
    <t>WK25080781</t>
  </si>
  <si>
    <t>spacenk</t>
  </si>
  <si>
    <t>2332</t>
  </si>
  <si>
    <t>caravanstyle</t>
  </si>
  <si>
    <t>06-09114-34251 + 06-09114-34252 + 06-09114-34250 + 
06-09114-34250 + 06-09114-34249</t>
  </si>
  <si>
    <t>0410077792209181001-1303754</t>
  </si>
  <si>
    <t>557513315</t>
  </si>
  <si>
    <t>1909YB56C22386</t>
  </si>
  <si>
    <t>24725833</t>
  </si>
  <si>
    <t>15219327</t>
  </si>
  <si>
    <t>dior</t>
  </si>
  <si>
    <t>1909YCF4022026</t>
  </si>
  <si>
    <t>ugg</t>
  </si>
  <si>
    <t>Авіа від 16.09.2022 -1996933</t>
  </si>
  <si>
    <t>Авіа від 19.09.2022 -1998090</t>
  </si>
  <si>
    <t>WN20643128260+386226712</t>
  </si>
  <si>
    <t>Авіа від 20.09.2022 -1999485</t>
  </si>
  <si>
    <t>Англія від 18.09.2022 -4529568</t>
  </si>
  <si>
    <t>beautybylaperla</t>
  </si>
  <si>
    <t>312101</t>
  </si>
  <si>
    <t>BMI Surplus</t>
  </si>
  <si>
    <t>222MD+WP1US0033364424</t>
  </si>
  <si>
    <t>chanel</t>
  </si>
  <si>
    <t>300020565+3000993</t>
  </si>
  <si>
    <t>Інвойс US-1998046</t>
  </si>
  <si>
    <t>899C918503+04174514+04190258</t>
  </si>
  <si>
    <t>Експрес море від 10.09.2022 -2001879</t>
  </si>
  <si>
    <t>Авіа від 22.09.2022 -2002221</t>
  </si>
  <si>
    <t>Авіа від 23.09.2022 -2003499</t>
  </si>
  <si>
    <t>Долг</t>
  </si>
  <si>
    <t>113-8058212-6139402 +  113-5800593-3893805</t>
  </si>
  <si>
    <t>2509Y5E6B22388</t>
  </si>
  <si>
    <t>W000188379</t>
  </si>
  <si>
    <t>Svetmax</t>
  </si>
  <si>
    <t>Італія від 23.09.2022 -7075749</t>
  </si>
  <si>
    <t>ES від 23.09.2022 -8496570</t>
  </si>
  <si>
    <t>2609YAB6B22388</t>
  </si>
  <si>
    <t>1384042</t>
  </si>
  <si>
    <t>514305391 +  514306152</t>
  </si>
  <si>
    <t>iherb</t>
  </si>
  <si>
    <t>Авіа від 26.09.2022 -2005174</t>
  </si>
  <si>
    <t>ES від 25.09.2022 -8497303</t>
  </si>
  <si>
    <t>DE від 25.09.2022 -6223500</t>
  </si>
  <si>
    <t>190571</t>
  </si>
  <si>
    <t>thefrankieshop</t>
  </si>
  <si>
    <t>322313460352+322643230434</t>
  </si>
  <si>
    <t>1384344 + 89189</t>
  </si>
  <si>
    <t>возврат</t>
  </si>
  <si>
    <t>Інвойс IT-7075557</t>
  </si>
  <si>
    <t>Англія від 26.09.2022 -4530890</t>
  </si>
  <si>
    <t>Авіа від 27.09.2022 -2006626</t>
  </si>
  <si>
    <t>Anemone</t>
  </si>
  <si>
    <t xml:space="preserve">CAR85781874 </t>
  </si>
  <si>
    <t>Авіа від 29.09.2022 -2007681</t>
  </si>
  <si>
    <t>Експрес море від 12.09.2022 -2009305</t>
  </si>
  <si>
    <t>Море від 05.09.2022 -2010779</t>
  </si>
  <si>
    <t>30516632</t>
  </si>
  <si>
    <t>frame</t>
  </si>
  <si>
    <t xml:space="preserve"> Італія від 28.09.2022 -7076445</t>
  </si>
  <si>
    <t>море</t>
  </si>
  <si>
    <t>30516821</t>
  </si>
  <si>
    <t>04-09165-89637</t>
  </si>
  <si>
    <t>DE від 30.09.2022 -6224368</t>
  </si>
  <si>
    <t>ES від 30.09.2022 -8498967</t>
  </si>
  <si>
    <t>Авіа від 03.10.2022 -2015538</t>
  </si>
  <si>
    <t>113-9198986-5672240</t>
  </si>
  <si>
    <t>Англія від 02.10.2022 -4532441</t>
  </si>
  <si>
    <t>Авіа від 04.10.2022-2016903</t>
  </si>
  <si>
    <t>Експрес море від 28.09.2022 -2017871</t>
  </si>
  <si>
    <t>DE від 04.10.2022 -6225349</t>
  </si>
  <si>
    <t>75769661</t>
  </si>
  <si>
    <t>80030123066</t>
  </si>
  <si>
    <t>52580470119</t>
  </si>
  <si>
    <t>113-7664047-4109836</t>
  </si>
  <si>
    <t>139111</t>
  </si>
  <si>
    <t>lethalgaminggear</t>
  </si>
  <si>
    <t>4 из 5</t>
  </si>
  <si>
    <t>германия</t>
  </si>
  <si>
    <t>1BKHM3K</t>
  </si>
  <si>
    <t>I6YFFLGTT</t>
  </si>
  <si>
    <t>epomaker</t>
  </si>
  <si>
    <t>Kate</t>
  </si>
  <si>
    <t>03-09191-38120</t>
  </si>
  <si>
    <t xml:space="preserve">Бобрешева </t>
  </si>
  <si>
    <t>1607</t>
  </si>
  <si>
    <t>aloeunique</t>
  </si>
  <si>
    <t>114-6930587-7508242</t>
  </si>
  <si>
    <t>80030158814</t>
  </si>
  <si>
    <t>Илья Меридиан</t>
  </si>
  <si>
    <t>111-8595730-3093816</t>
  </si>
  <si>
    <t>89473</t>
  </si>
  <si>
    <t>Авіа від 06.10.2022 -2019326</t>
  </si>
  <si>
    <t>Авіа від 07.10.2022 -2020565</t>
  </si>
  <si>
    <t>DE від 07.10.2022 -6225616</t>
  </si>
  <si>
    <t>Англія від 09.10.2022 -4534173</t>
  </si>
  <si>
    <t>govee</t>
  </si>
  <si>
    <t>99030</t>
  </si>
  <si>
    <t>06-09207-54571</t>
  </si>
  <si>
    <t>13-09207-60314</t>
  </si>
  <si>
    <t>8123176209</t>
  </si>
  <si>
    <t>forever21</t>
  </si>
  <si>
    <t>7 из 9</t>
  </si>
  <si>
    <t>48686-91</t>
  </si>
  <si>
    <t>48687-91</t>
  </si>
  <si>
    <t>128374</t>
  </si>
  <si>
    <t xml:space="preserve"> shop.x-raypad</t>
  </si>
  <si>
    <t>111-6470805-6625825</t>
  </si>
  <si>
    <t>52587108905+52581135927</t>
  </si>
  <si>
    <t>1235962660</t>
  </si>
  <si>
    <t>Штерн</t>
  </si>
  <si>
    <t>53035508206+52587516155</t>
  </si>
  <si>
    <t>Оськина Наталья</t>
  </si>
  <si>
    <t>US-15392273</t>
  </si>
  <si>
    <t>15-09217-56426 + 15-09217-56427</t>
  </si>
  <si>
    <t>Таня 98</t>
  </si>
  <si>
    <t>113-3997570-6227467</t>
  </si>
  <si>
    <t>asos</t>
  </si>
  <si>
    <t>7U2FNDF2ADC0</t>
  </si>
  <si>
    <t>112-0099518-0242603
112-7613970-6256209
112-5876951-5269853</t>
  </si>
  <si>
    <t>Авіа від 11.10.2022 -2023907</t>
  </si>
  <si>
    <t>Авіа від 13.10.2022 -2026816</t>
  </si>
  <si>
    <t>Авіа від 14.10.2022 -2028904</t>
  </si>
  <si>
    <t>0420077792210181145</t>
  </si>
  <si>
    <t>595689570</t>
  </si>
  <si>
    <t>1810Y9D412238E</t>
  </si>
  <si>
    <t>K7EWFJ</t>
  </si>
  <si>
    <t>таня 98</t>
  </si>
  <si>
    <t>32degree</t>
  </si>
  <si>
    <t>3468229</t>
  </si>
  <si>
    <t>6 из 10</t>
  </si>
  <si>
    <t>3018831-42918590</t>
  </si>
  <si>
    <t xml:space="preserve">StockX </t>
  </si>
  <si>
    <t>43018857-42918616</t>
  </si>
  <si>
    <t>174734</t>
  </si>
  <si>
    <t>fearofgod</t>
  </si>
  <si>
    <t>20-09236-50064</t>
  </si>
  <si>
    <t>31428</t>
  </si>
  <si>
    <t xml:space="preserve">bathroomsatsource </t>
  </si>
  <si>
    <t>freepeople</t>
  </si>
  <si>
    <t>69778785+FP10938079</t>
  </si>
  <si>
    <t>111-3561658-3183401</t>
  </si>
  <si>
    <t>75790734</t>
  </si>
  <si>
    <t>0420077792210211300-1639518</t>
  </si>
  <si>
    <t>A047134299</t>
  </si>
  <si>
    <t>1319131</t>
  </si>
  <si>
    <t>luckyscent</t>
  </si>
  <si>
    <t>sherline</t>
  </si>
  <si>
    <t>Яценко Лена</t>
  </si>
  <si>
    <t>CAR86543514</t>
  </si>
  <si>
    <t>00800141</t>
  </si>
  <si>
    <t xml:space="preserve"> 19-09241-54860</t>
  </si>
  <si>
    <t>52595683147</t>
  </si>
  <si>
    <t>Childrensalon</t>
  </si>
  <si>
    <t>2504094210</t>
  </si>
  <si>
    <t>WN20813849516</t>
  </si>
  <si>
    <t>514695764 + 514695884</t>
  </si>
  <si>
    <t>bloom</t>
  </si>
  <si>
    <t>608350720</t>
  </si>
  <si>
    <t>113-7224686-6367437</t>
  </si>
  <si>
    <t xml:space="preserve">12154716 </t>
  </si>
  <si>
    <t>libertylondon</t>
  </si>
  <si>
    <t>Авіа від 18.10.2022 -2031091</t>
  </si>
  <si>
    <t>727-5857 + 63789</t>
  </si>
  <si>
    <t>113-2801990-3207428 +  113-2612406-3559406</t>
  </si>
  <si>
    <t>1448020</t>
  </si>
  <si>
    <t>75912201</t>
  </si>
  <si>
    <t>00474160252443</t>
  </si>
  <si>
    <t>bathandbodyworks</t>
  </si>
  <si>
    <t>2504097835</t>
  </si>
  <si>
    <t>80030718488</t>
  </si>
  <si>
    <t>888942491</t>
  </si>
  <si>
    <t xml:space="preserve">thewhitecompany </t>
  </si>
  <si>
    <t>301-0040911-1088608</t>
  </si>
  <si>
    <t>marksandspencer</t>
  </si>
  <si>
    <t>5655258+04452437</t>
  </si>
  <si>
    <t>us132559103+de13277736</t>
  </si>
  <si>
    <t>MKK0201</t>
  </si>
  <si>
    <t>billionaire</t>
  </si>
  <si>
    <t>19763</t>
  </si>
  <si>
    <t>decortecosmetics</t>
  </si>
  <si>
    <t>23-09250-63512 + 23-09250-63511</t>
  </si>
  <si>
    <t>WQ185K8XZ</t>
  </si>
  <si>
    <t xml:space="preserve">decortecosmetics </t>
  </si>
  <si>
    <t>WN20828704866 +WN20829634098</t>
  </si>
  <si>
    <t>WN20829634098</t>
  </si>
  <si>
    <t>Авіа від 20.10.2022 -2034371</t>
  </si>
  <si>
    <t>Авіа від 21.10.2022 -2036839</t>
  </si>
  <si>
    <t>ES від 22.10.2022 -8502147</t>
  </si>
  <si>
    <t>theoutnet</t>
  </si>
  <si>
    <t>2510Z3BK02201H</t>
  </si>
  <si>
    <t>gapyz</t>
  </si>
  <si>
    <t>YZY272995</t>
  </si>
  <si>
    <t>sephora</t>
  </si>
  <si>
    <t>89958</t>
  </si>
  <si>
    <t>toofaced</t>
  </si>
  <si>
    <t>4342272816</t>
  </si>
  <si>
    <t xml:space="preserve">2 из 6 </t>
  </si>
  <si>
    <t>112-5257236-2887401+113-2612406-355978</t>
  </si>
  <si>
    <t>Vs</t>
  </si>
  <si>
    <t>Авіа від 24.10.2022 -2038159</t>
  </si>
  <si>
    <t>ES від 24.10.2022 -8502384</t>
  </si>
  <si>
    <t>Авіа від 25.10.2022 -2039498</t>
  </si>
  <si>
    <t>1404783282</t>
  </si>
  <si>
    <t xml:space="preserve">endclothing </t>
  </si>
  <si>
    <t>415034183</t>
  </si>
  <si>
    <t>W087020306</t>
  </si>
  <si>
    <t>sakare</t>
  </si>
  <si>
    <t>2759</t>
  </si>
  <si>
    <t>37664551</t>
  </si>
  <si>
    <t>qtica</t>
  </si>
  <si>
    <t>bkbeauty</t>
  </si>
  <si>
    <t>2100000111139</t>
  </si>
  <si>
    <t>cosmedix</t>
  </si>
  <si>
    <t xml:space="preserve">0ZZ5GU2PD+96954 </t>
  </si>
  <si>
    <t>49111-91</t>
  </si>
  <si>
    <t>111-9381906-0025026</t>
  </si>
  <si>
    <t>76008896</t>
  </si>
  <si>
    <t>W087281007</t>
  </si>
  <si>
    <t>Авіа від 27.10.2022 -2043273</t>
  </si>
  <si>
    <t>Авіа від 28.10.2022 -2044215</t>
  </si>
  <si>
    <t>Експрес море від 11.10.2022-2045994</t>
  </si>
  <si>
    <t>Ира Вика</t>
  </si>
  <si>
    <t>SDUS40000093967925</t>
  </si>
  <si>
    <t>Sports Direct</t>
  </si>
  <si>
    <t>Night Orchid</t>
  </si>
  <si>
    <t>114-2702215-2903455</t>
  </si>
  <si>
    <t>114-9581071-0802651 +  114-4399012-9695425 +   114-2116578-2073827</t>
  </si>
  <si>
    <t>233025383</t>
  </si>
  <si>
    <t>worldofsweets</t>
  </si>
  <si>
    <t>G3LKLZ</t>
  </si>
  <si>
    <t>англ</t>
  </si>
  <si>
    <t>1171246</t>
  </si>
  <si>
    <t>makeuperaser</t>
  </si>
  <si>
    <t>150857217</t>
  </si>
  <si>
    <t>selfridges</t>
  </si>
  <si>
    <t>2504109301</t>
  </si>
  <si>
    <t>Loropiana</t>
  </si>
  <si>
    <t>11054445+11088720</t>
  </si>
  <si>
    <t>111-3203214-8057016</t>
  </si>
  <si>
    <t>фр</t>
  </si>
  <si>
    <t>mariagefreres</t>
  </si>
  <si>
    <t>1108794</t>
  </si>
  <si>
    <t>CYM294082</t>
  </si>
  <si>
    <t>cymbiotika</t>
  </si>
  <si>
    <t>90224</t>
  </si>
  <si>
    <t>charlottetilbury</t>
  </si>
  <si>
    <t>90229</t>
  </si>
  <si>
    <t>WN20874226226</t>
  </si>
  <si>
    <t>Сьюзи</t>
  </si>
  <si>
    <t>54517446</t>
  </si>
  <si>
    <t>birkenstock</t>
  </si>
  <si>
    <t>400232323</t>
  </si>
  <si>
    <t>bodum</t>
  </si>
  <si>
    <t>514880870</t>
  </si>
  <si>
    <t>гер</t>
  </si>
  <si>
    <t>00190-US61490201</t>
  </si>
  <si>
    <t>ES від 30.10.2022 -8503717</t>
  </si>
  <si>
    <t>Авіа від 31.10.2022 -2048092</t>
  </si>
  <si>
    <t>Італія від 31.10.2022 -7077771</t>
  </si>
  <si>
    <t>267728</t>
  </si>
  <si>
    <t>lagarconne</t>
  </si>
  <si>
    <t xml:space="preserve">1 из </t>
  </si>
  <si>
    <t>Авіа від 03.11.2022 -2052586</t>
  </si>
  <si>
    <t>gapfactory</t>
  </si>
  <si>
    <t>1C7188P</t>
  </si>
  <si>
    <t>111-7158285-1910613</t>
  </si>
  <si>
    <t>ит</t>
  </si>
  <si>
    <t>A047337390</t>
  </si>
  <si>
    <t>исп</t>
  </si>
  <si>
    <t>52612485967</t>
  </si>
  <si>
    <t>Авіа від 01.11.2022 -2049293</t>
  </si>
  <si>
    <t>49276-91</t>
  </si>
  <si>
    <t>26114282 + W086799119</t>
  </si>
  <si>
    <t>E-mail</t>
  </si>
  <si>
    <t>ник</t>
  </si>
  <si>
    <t>Тема</t>
  </si>
  <si>
    <t>Вы можете забрать свой заказ!</t>
  </si>
  <si>
    <t>Добрый день,</t>
  </si>
  <si>
    <r>
      <t>Ваш заказ можно забирать в офисе </t>
    </r>
    <r>
      <rPr>
        <sz val="10"/>
        <color rgb="FF222222"/>
        <rFont val="Verdana"/>
        <family val="2"/>
        <charset val="204"/>
      </rPr>
      <t>адрес: площадь 10-го Апреля, д.1 (административное здание между ул.Пионерской и ул.Черняховского)</t>
    </r>
  </si>
  <si>
    <r>
      <t>2 этаж, офис #5</t>
    </r>
    <r>
      <rPr>
        <b/>
        <sz val="16"/>
        <color rgb="FF00B050"/>
        <rFont val="Verdana"/>
        <family val="2"/>
        <charset val="204"/>
      </rPr>
      <t>(Офис работает 08 и 09 апреля с 12 до 14!!!!!)</t>
    </r>
    <r>
      <rPr>
        <b/>
        <sz val="10"/>
        <color rgb="FFFF0000"/>
        <rFont val="Verdana"/>
        <family val="2"/>
        <charset val="204"/>
      </rPr>
      <t/>
    </r>
  </si>
  <si>
    <t>карта </t>
  </si>
  <si>
    <t>по финансовым вопросам пожалуйста обращайтесь : wwsods@gmail.com (Вероника) </t>
  </si>
  <si>
    <t>Обратите внимание! новый номер Viber и Telegram +38-093-240-5028</t>
  </si>
  <si>
    <t xml:space="preserve">Уважаемые клиенты! Убедительная просьба, заказы проверять в офисе при получении и все вопросы по товару(цвет, наличие, количество) решать на месте. </t>
  </si>
  <si>
    <t>После того, как заказ был забран домой – претензии по заказу рассматриваться не будут!</t>
  </si>
  <si>
    <t>Если в "Примечании" указано количество единиц, к примеру, "1из3", это значит, что остальные единицы из данного заказа дойдут позже.</t>
  </si>
  <si>
    <t xml:space="preserve">дата </t>
  </si>
  <si>
    <t>Номер ордера</t>
  </si>
  <si>
    <t>afepower</t>
  </si>
  <si>
    <t>102115846 + 102116069</t>
  </si>
  <si>
    <t xml:space="preserve">1408082090674 </t>
  </si>
  <si>
    <t>Bath and Body works</t>
  </si>
  <si>
    <t>00474132969961</t>
  </si>
  <si>
    <t>massimodutti</t>
  </si>
  <si>
    <t>30018781242</t>
  </si>
  <si>
    <t>CYHPQA</t>
  </si>
  <si>
    <t>CYHW7I</t>
  </si>
  <si>
    <t>CYI43T</t>
  </si>
  <si>
    <t>Mango outlet</t>
  </si>
  <si>
    <t>U8ALM1</t>
  </si>
  <si>
    <t>U8ALWV</t>
  </si>
  <si>
    <t>Mango</t>
  </si>
  <si>
    <t>CYR4LH</t>
  </si>
  <si>
    <t>Ssense</t>
  </si>
  <si>
    <t>1411341426094</t>
  </si>
  <si>
    <t>Тимофей</t>
  </si>
  <si>
    <t>timofei.kropachev@gmail.com</t>
  </si>
  <si>
    <t>Hbfn</t>
  </si>
  <si>
    <t>timofei.kropachev08@gmail.com</t>
  </si>
  <si>
    <t>korolasii</t>
  </si>
  <si>
    <t>korolasii11@gmail.com</t>
  </si>
  <si>
    <t xml:space="preserve">    Hbfn   </t>
  </si>
  <si>
    <t xml:space="preserve">Тимофей </t>
  </si>
  <si>
    <t xml:space="preserve"> korolasii</t>
  </si>
  <si>
    <t xml:space="preserve">   korolasii   </t>
  </si>
  <si>
    <t xml:space="preserve"> Тимофей  </t>
  </si>
  <si>
    <t xml:space="preserve">korolasii </t>
  </si>
  <si>
    <t>Офис будет открыт  - . Так же можно внести оплату на карточку приват банка или моно банка ( номер по запросу ) </t>
  </si>
  <si>
    <t>Будем благодарны за своевременную оплату </t>
  </si>
  <si>
    <t>Добрый день</t>
  </si>
  <si>
    <t>Ваш баланс на данный момент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</si>
</sst>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9]d\ mmm;@"/>
  </numFmts>
  <fonts count="4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222222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B0F0"/>
      <name val="Calibri"/>
      <family val="2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FF0000"/>
      <name val="Calibri"/>
      <family val="2"/>
      <charset val="20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499984740745262"/>
      <name val="Calibri"/>
      <family val="2"/>
      <charset val="204"/>
    </font>
    <font>
      <sz val="11"/>
      <color rgb="FF0070C0"/>
      <name val="Calibri"/>
      <family val="2"/>
      <charset val="204"/>
    </font>
    <font>
      <sz val="10"/>
      <color rgb="FF313131"/>
      <name val="HelveticaNeueCyr"/>
    </font>
    <font>
      <sz val="11"/>
      <color theme="1"/>
      <name val="Calibri"/>
      <family val="2"/>
      <charset val="204"/>
    </font>
    <font>
      <b/>
      <sz val="11"/>
      <name val="Calibri"/>
      <family val="2"/>
    </font>
    <font>
      <sz val="11"/>
      <color theme="8" tint="-0.249977111117893"/>
      <name val="Calibri"/>
      <family val="2"/>
      <charset val="204"/>
    </font>
    <font>
      <sz val="12"/>
      <color rgb="FF00B0F0"/>
      <name val="Times New Roman"/>
      <family val="1"/>
    </font>
    <font>
      <sz val="11"/>
      <color rgb="FF00B05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sz val="10"/>
      <color rgb="FF222222"/>
      <name val="Arial"/>
      <family val="2"/>
      <charset val="204"/>
    </font>
    <font>
      <sz val="14"/>
      <color rgb="FF222222"/>
      <name val="Arial"/>
      <family val="2"/>
      <charset val="204"/>
    </font>
    <font>
      <b/>
      <sz val="16"/>
      <color rgb="FFFF0000"/>
      <name val="Verdana"/>
      <family val="2"/>
      <charset val="204"/>
    </font>
    <font>
      <sz val="14"/>
      <color rgb="FF222222"/>
      <name val="Calibri"/>
      <family val="2"/>
      <charset val="204"/>
      <scheme val="minor"/>
    </font>
    <font>
      <sz val="10"/>
      <color rgb="FF222222"/>
      <name val="Verdana"/>
      <family val="2"/>
      <charset val="204"/>
    </font>
    <font>
      <sz val="10"/>
      <color rgb="FF000000"/>
      <name val="Verdana"/>
      <family val="2"/>
      <charset val="204"/>
    </font>
    <font>
      <b/>
      <sz val="16"/>
      <color rgb="FF00B050"/>
      <name val="Verdana"/>
      <family val="2"/>
      <charset val="204"/>
    </font>
    <font>
      <b/>
      <sz val="10"/>
      <color rgb="FFFF0000"/>
      <name val="Verdana"/>
      <family val="2"/>
      <charset val="204"/>
    </font>
    <font>
      <b/>
      <sz val="10"/>
      <color rgb="FFFF0000"/>
      <name val="Arial"/>
      <family val="2"/>
      <charset val="204"/>
    </font>
    <font>
      <b/>
      <sz val="16"/>
      <color rgb="FFFF0000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0"/>
      <color theme="1"/>
      <name val="Georgia"/>
      <family val="1"/>
      <charset val="204"/>
    </font>
    <font>
      <b/>
      <sz val="18"/>
      <color rgb="FFFF0000"/>
      <name val="Verdana"/>
      <family val="2"/>
      <charset val="204"/>
    </font>
    <font>
      <b/>
      <sz val="18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3"/>
      <color rgb="FF00B050"/>
      <name val="Verdana"/>
      <family val="2"/>
      <charset val="204"/>
    </font>
    <font>
      <b/>
      <sz val="11"/>
      <color theme="3" tint="0.3999755851924192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7">
    <xf numFmtId="0" fontId="0" fillId="0" borderId="0" xfId="0"/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center" vertical="distributed"/>
    </xf>
    <xf numFmtId="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2" xfId="0" applyNumberFormat="1" applyFont="1" applyBorder="1"/>
    <xf numFmtId="164" fontId="2" fillId="0" borderId="3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center" vertical="distributed"/>
    </xf>
    <xf numFmtId="2" fontId="2" fillId="0" borderId="4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2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0" fontId="7" fillId="0" borderId="1" xfId="0" applyFont="1" applyBorder="1"/>
    <xf numFmtId="16" fontId="0" fillId="0" borderId="1" xfId="0" applyNumberFormat="1" applyBorder="1"/>
    <xf numFmtId="49" fontId="10" fillId="0" borderId="1" xfId="0" applyNumberFormat="1" applyFont="1" applyBorder="1" applyAlignment="1">
      <alignment horizontal="center" vertical="distributed"/>
    </xf>
    <xf numFmtId="0" fontId="0" fillId="3" borderId="1" xfId="0" applyFill="1" applyBorder="1"/>
    <xf numFmtId="2" fontId="13" fillId="0" borderId="1" xfId="0" applyNumberFormat="1" applyFont="1" applyBorder="1" applyAlignment="1">
      <alignment horizontal="center"/>
    </xf>
    <xf numFmtId="0" fontId="14" fillId="0" borderId="1" xfId="0" applyFont="1" applyBorder="1"/>
    <xf numFmtId="0" fontId="15" fillId="3" borderId="0" xfId="0" applyFont="1" applyFill="1"/>
    <xf numFmtId="0" fontId="7" fillId="0" borderId="1" xfId="0" applyFont="1" applyFill="1" applyBorder="1"/>
    <xf numFmtId="49" fontId="16" fillId="0" borderId="1" xfId="0" applyNumberFormat="1" applyFont="1" applyBorder="1" applyAlignment="1">
      <alignment horizontal="center" vertical="distributed"/>
    </xf>
    <xf numFmtId="49" fontId="1" fillId="4" borderId="1" xfId="0" applyNumberFormat="1" applyFont="1" applyFill="1" applyBorder="1" applyAlignment="1">
      <alignment horizontal="center" vertical="distributed"/>
    </xf>
    <xf numFmtId="49" fontId="1" fillId="5" borderId="1" xfId="0" applyNumberFormat="1" applyFont="1" applyFill="1" applyBorder="1" applyAlignment="1">
      <alignment horizontal="center" vertical="distributed"/>
    </xf>
    <xf numFmtId="49" fontId="1" fillId="2" borderId="1" xfId="0" applyNumberFormat="1" applyFont="1" applyFill="1" applyBorder="1" applyAlignment="1">
      <alignment horizontal="center" vertical="distributed"/>
    </xf>
    <xf numFmtId="49" fontId="17" fillId="0" borderId="1" xfId="0" applyNumberFormat="1" applyFont="1" applyBorder="1" applyAlignment="1">
      <alignment horizontal="center" vertical="distributed"/>
    </xf>
    <xf numFmtId="164" fontId="10" fillId="0" borderId="1" xfId="0" applyNumberFormat="1" applyFont="1" applyBorder="1" applyAlignment="1">
      <alignment horizontal="center"/>
    </xf>
    <xf numFmtId="0" fontId="10" fillId="0" borderId="1" xfId="0" applyFont="1" applyBorder="1"/>
    <xf numFmtId="0" fontId="10" fillId="0" borderId="1" xfId="0" applyFont="1" applyBorder="1" applyAlignment="1">
      <alignment horizontal="left"/>
    </xf>
    <xf numFmtId="0" fontId="18" fillId="0" borderId="1" xfId="0" applyFont="1" applyBorder="1"/>
    <xf numFmtId="49" fontId="1" fillId="0" borderId="1" xfId="0" applyNumberFormat="1" applyFont="1" applyFill="1" applyBorder="1" applyAlignment="1">
      <alignment horizontal="center" vertical="distributed"/>
    </xf>
    <xf numFmtId="0" fontId="19" fillId="0" borderId="0" xfId="0" applyFont="1" applyBorder="1"/>
    <xf numFmtId="49" fontId="1" fillId="0" borderId="1" xfId="0" applyNumberFormat="1" applyFont="1" applyBorder="1" applyAlignment="1">
      <alignment horizontal="center" vertical="distributed" wrapText="1"/>
    </xf>
    <xf numFmtId="0" fontId="10" fillId="0" borderId="1" xfId="0" applyFont="1" applyFill="1" applyBorder="1"/>
    <xf numFmtId="0" fontId="10" fillId="0" borderId="1" xfId="0" applyFont="1" applyFill="1" applyBorder="1" applyAlignment="1">
      <alignment horizontal="left"/>
    </xf>
    <xf numFmtId="49" fontId="10" fillId="0" borderId="1" xfId="0" applyNumberFormat="1" applyFont="1" applyFill="1" applyBorder="1" applyAlignment="1">
      <alignment horizontal="center" vertical="distributed"/>
    </xf>
    <xf numFmtId="0" fontId="0" fillId="5" borderId="1" xfId="0" applyFill="1" applyBorder="1"/>
    <xf numFmtId="4" fontId="2" fillId="0" borderId="6" xfId="0" applyNumberFormat="1" applyFont="1" applyBorder="1" applyAlignment="1">
      <alignment horizontal="left" vertical="center" wrapText="1"/>
    </xf>
    <xf numFmtId="4" fontId="0" fillId="0" borderId="1" xfId="0" applyNumberFormat="1" applyBorder="1"/>
    <xf numFmtId="4" fontId="0" fillId="0" borderId="0" xfId="0" applyNumberFormat="1"/>
    <xf numFmtId="0" fontId="1" fillId="0" borderId="0" xfId="0" applyFont="1" applyBorder="1" applyAlignment="1">
      <alignment horizontal="left"/>
    </xf>
    <xf numFmtId="164" fontId="1" fillId="6" borderId="1" xfId="0" applyNumberFormat="1" applyFont="1" applyFill="1" applyBorder="1" applyAlignment="1">
      <alignment horizontal="center"/>
    </xf>
    <xf numFmtId="0" fontId="20" fillId="0" borderId="1" xfId="0" applyFont="1" applyBorder="1"/>
    <xf numFmtId="0" fontId="22" fillId="0" borderId="0" xfId="0" applyFont="1"/>
    <xf numFmtId="0" fontId="21" fillId="0" borderId="0" xfId="1"/>
    <xf numFmtId="0" fontId="23" fillId="0" borderId="0" xfId="0" applyFont="1"/>
    <xf numFmtId="0" fontId="1" fillId="0" borderId="0" xfId="0" applyFont="1" applyAlignment="1">
      <alignment horizontal="left"/>
    </xf>
    <xf numFmtId="1" fontId="0" fillId="0" borderId="0" xfId="0" applyNumberFormat="1"/>
    <xf numFmtId="0" fontId="1" fillId="0" borderId="1" xfId="0" applyFont="1" applyBorder="1" applyAlignment="1">
      <alignment horizontal="left" wrapText="1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8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vertical="center"/>
    </xf>
    <xf numFmtId="0" fontId="4" fillId="0" borderId="0" xfId="0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3" fillId="0" borderId="4" xfId="0" applyFont="1" applyBorder="1" applyAlignment="1">
      <alignment horizontal="left" vertical="center" wrapText="1"/>
    </xf>
    <xf numFmtId="2" fontId="2" fillId="0" borderId="6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164" fontId="1" fillId="7" borderId="1" xfId="0" applyNumberFormat="1" applyFont="1" applyFill="1" applyBorder="1" applyAlignment="1">
      <alignment horizontal="center"/>
    </xf>
    <xf numFmtId="0" fontId="1" fillId="7" borderId="1" xfId="0" applyFont="1" applyFill="1" applyBorder="1"/>
    <xf numFmtId="0" fontId="1" fillId="7" borderId="1" xfId="0" applyFont="1" applyFill="1" applyBorder="1" applyAlignment="1">
      <alignment horizontal="left"/>
    </xf>
    <xf numFmtId="49" fontId="1" fillId="7" borderId="1" xfId="0" applyNumberFormat="1" applyFont="1" applyFill="1" applyBorder="1" applyAlignment="1">
      <alignment horizontal="center" vertical="distributed"/>
    </xf>
    <xf numFmtId="2" fontId="1" fillId="7" borderId="1" xfId="0" applyNumberFormat="1" applyFont="1" applyFill="1" applyBorder="1" applyAlignment="1">
      <alignment horizontal="center"/>
    </xf>
    <xf numFmtId="49" fontId="1" fillId="8" borderId="1" xfId="0" applyNumberFormat="1" applyFont="1" applyFill="1" applyBorder="1" applyAlignment="1">
      <alignment horizontal="center" vertical="distributed"/>
    </xf>
    <xf numFmtId="4" fontId="0" fillId="0" borderId="0" xfId="0" applyNumberFormat="1" applyBorder="1"/>
    <xf numFmtId="0" fontId="1" fillId="0" borderId="1" xfId="0" applyFont="1" applyFill="1" applyBorder="1" applyAlignment="1">
      <alignment horizontal="left"/>
    </xf>
    <xf numFmtId="0" fontId="40" fillId="9" borderId="0" xfId="0" applyFont="1" applyFill="1"/>
  </cellXfs>
  <cellStyles count="2">
    <cellStyle name="Гиперссылка" xfId="1" builtinId="8"/>
    <cellStyle name="Обычный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9525</xdr:colOff>
      <xdr:row>1</xdr:row>
      <xdr:rowOff>9525</xdr:rowOff>
    </xdr:to>
    <xdr:pic>
      <xdr:nvPicPr>
        <xdr:cNvPr id="2" name="Рисунок 1" descr="https://mail.google.com/mail/u/1/images/cleardot.gif">
          <a:extLst>
            <a:ext uri="{FF2B5EF4-FFF2-40B4-BE49-F238E27FC236}">
              <a16:creationId xmlns="" xmlns:a16="http://schemas.microsoft.com/office/drawing/2014/main" id="{3F05951E-5E9A-4A4A-99D6-491759F02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7360" y="1201293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7;&#1086;&#1083;&#1091;&#1095;&#1077;&#1085;&#1080;&#10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лучение"/>
      <sheetName val="База клиентов"/>
      <sheetName val="temp"/>
      <sheetName val="Лист1"/>
    </sheetNames>
    <sheetDataSet>
      <sheetData sheetId="0" refreshError="1"/>
      <sheetData sheetId="1">
        <row r="2">
          <cell r="A2" t="str">
            <v>Timofei</v>
          </cell>
          <cell r="B2" t="str">
            <v>timofei.kropachev@gmail.com</v>
          </cell>
        </row>
        <row r="3">
          <cell r="A3" t="str">
            <v>Max Kropachev</v>
          </cell>
          <cell r="B3" t="str">
            <v>kropachev1981@gmail.com</v>
          </cell>
        </row>
        <row r="4">
          <cell r="A4" t="str">
            <v>Timofei Kropachev</v>
          </cell>
          <cell r="B4" t="str">
            <v>timofei.kropachev.08@gmail.com</v>
          </cell>
        </row>
        <row r="5">
          <cell r="A5" t="str">
            <v>Alexandra</v>
          </cell>
          <cell r="B5" t="str">
            <v>vivianochka@gmail.com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korolasii11@gmail.com" TargetMode="External"/><Relationship Id="rId2" Type="http://schemas.openxmlformats.org/officeDocument/2006/relationships/hyperlink" Target="mailto:timofei.kropachev08@gmail.com" TargetMode="External"/><Relationship Id="rId1" Type="http://schemas.openxmlformats.org/officeDocument/2006/relationships/hyperlink" Target="mailto:timofei.kropachev@gmail.com" TargetMode="Externa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maps.2gis.ru/" TargetMode="External"/><Relationship Id="rId1" Type="http://schemas.openxmlformats.org/officeDocument/2006/relationships/hyperlink" Target="mailto:wwsods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418"/>
  <sheetViews>
    <sheetView workbookViewId="0">
      <pane ySplit="1" topLeftCell="A2" activePane="bottomLeft" state="frozen"/>
      <selection pane="bottomLeft" activeCell="S309" sqref="S309"/>
    </sheetView>
  </sheetViews>
  <sheetFormatPr defaultRowHeight="15"/>
  <cols>
    <col min="2" max="2" width="13" bestFit="1" customWidth="1"/>
    <col min="3" max="3" width="18.7109375" customWidth="1"/>
    <col min="4" max="4" width="12" bestFit="1" customWidth="1"/>
    <col min="5" max="5" width="8.85546875" customWidth="1"/>
    <col min="9" max="9" width="8.85546875" customWidth="1"/>
    <col min="16" max="16" width="8.85546875" customWidth="1"/>
  </cols>
  <sheetData>
    <row r="1" spans="1:17" ht="45.75" thickBot="1">
      <c r="A1" s="8" t="s">
        <v>0</v>
      </c>
      <c r="B1" s="9" t="s">
        <v>1</v>
      </c>
      <c r="C1" s="10" t="s">
        <v>2</v>
      </c>
      <c r="D1" s="10" t="s">
        <v>3</v>
      </c>
      <c r="E1" s="11" t="s">
        <v>4</v>
      </c>
      <c r="F1" s="12" t="s">
        <v>5</v>
      </c>
      <c r="G1" s="13" t="s">
        <v>6</v>
      </c>
      <c r="H1" s="13" t="s">
        <v>7</v>
      </c>
      <c r="I1" s="13" t="s">
        <v>8</v>
      </c>
      <c r="J1" s="12" t="s">
        <v>9</v>
      </c>
      <c r="K1" s="12" t="s">
        <v>10</v>
      </c>
      <c r="L1" s="12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Q1" s="18" t="s">
        <v>16</v>
      </c>
    </row>
    <row r="2" spans="1:17" ht="15" customHeight="1">
      <c r="A2" s="1">
        <v>44714</v>
      </c>
      <c r="B2" s="25" t="s">
        <v>17</v>
      </c>
      <c r="C2" s="3" t="s">
        <v>18</v>
      </c>
      <c r="D2" s="4" t="s">
        <v>19</v>
      </c>
      <c r="E2" s="1"/>
      <c r="F2" s="5">
        <v>51.21</v>
      </c>
      <c r="G2" s="5"/>
      <c r="H2" s="29">
        <f t="shared" ref="H2:H43" si="0">(F2/100)*10</f>
        <v>5.1210000000000004</v>
      </c>
      <c r="I2" s="29"/>
      <c r="J2" s="1">
        <v>44727</v>
      </c>
      <c r="K2" s="5">
        <v>0.35</v>
      </c>
      <c r="L2" s="29">
        <f t="shared" ref="L2:L65" si="1">K2*11</f>
        <v>3.8499999999999996</v>
      </c>
      <c r="M2" s="5">
        <f>55+11</f>
        <v>66</v>
      </c>
      <c r="N2" s="1">
        <v>44732</v>
      </c>
      <c r="O2" s="6"/>
      <c r="P2" s="7">
        <f t="shared" ref="P2:P65" si="2">M2-(F2+G2+H2+L2)</f>
        <v>5.8189999999999955</v>
      </c>
      <c r="Q2" s="3"/>
    </row>
    <row r="3" spans="1:17">
      <c r="A3" s="1">
        <v>44716</v>
      </c>
      <c r="B3" s="25" t="s">
        <v>29</v>
      </c>
      <c r="C3" s="3" t="s">
        <v>28</v>
      </c>
      <c r="D3" s="4" t="s">
        <v>68</v>
      </c>
      <c r="E3" s="1"/>
      <c r="F3" s="5">
        <v>624.16</v>
      </c>
      <c r="G3" s="5"/>
      <c r="H3" s="29">
        <f t="shared" si="0"/>
        <v>62.415999999999997</v>
      </c>
      <c r="I3" s="29">
        <v>101.09</v>
      </c>
      <c r="J3" s="1">
        <v>44740</v>
      </c>
      <c r="K3" s="5">
        <v>0.6</v>
      </c>
      <c r="L3" s="29">
        <f t="shared" si="1"/>
        <v>6.6</v>
      </c>
      <c r="M3" s="5">
        <v>3500</v>
      </c>
      <c r="N3" s="1">
        <v>44732</v>
      </c>
      <c r="O3" s="6"/>
      <c r="P3" s="7">
        <f t="shared" si="2"/>
        <v>2806.8240000000001</v>
      </c>
      <c r="Q3" s="3"/>
    </row>
    <row r="4" spans="1:17" ht="15" customHeight="1">
      <c r="A4" s="1">
        <v>44718</v>
      </c>
      <c r="B4" s="25" t="s">
        <v>33</v>
      </c>
      <c r="C4" s="3" t="s">
        <v>32</v>
      </c>
      <c r="D4" s="4" t="s">
        <v>31</v>
      </c>
      <c r="E4" s="1"/>
      <c r="F4" s="5">
        <v>22.3</v>
      </c>
      <c r="G4" s="5"/>
      <c r="H4" s="29">
        <f t="shared" si="0"/>
        <v>2.23</v>
      </c>
      <c r="I4" s="29"/>
      <c r="J4" s="1">
        <v>44733</v>
      </c>
      <c r="K4" s="5">
        <v>0.5</v>
      </c>
      <c r="L4" s="29">
        <f t="shared" si="1"/>
        <v>5.5</v>
      </c>
      <c r="M4" s="5">
        <v>20</v>
      </c>
      <c r="N4" s="1">
        <v>44734</v>
      </c>
      <c r="O4" s="6"/>
      <c r="P4" s="7">
        <f t="shared" si="2"/>
        <v>-10.030000000000001</v>
      </c>
      <c r="Q4" s="3"/>
    </row>
    <row r="5" spans="1:17">
      <c r="A5" s="1">
        <v>44721</v>
      </c>
      <c r="B5" s="25" t="s">
        <v>38</v>
      </c>
      <c r="C5" s="3" t="s">
        <v>39</v>
      </c>
      <c r="D5" s="4" t="s">
        <v>37</v>
      </c>
      <c r="E5" s="1"/>
      <c r="F5" s="5">
        <v>201</v>
      </c>
      <c r="G5" s="5"/>
      <c r="H5" s="29">
        <f t="shared" si="0"/>
        <v>20.099999999999998</v>
      </c>
      <c r="I5" s="29"/>
      <c r="J5" s="1">
        <v>44740</v>
      </c>
      <c r="K5" s="5">
        <v>1.5</v>
      </c>
      <c r="L5" s="29">
        <f t="shared" si="1"/>
        <v>16.5</v>
      </c>
      <c r="M5" s="5">
        <v>200</v>
      </c>
      <c r="N5" s="1">
        <v>44723</v>
      </c>
      <c r="O5" s="6"/>
      <c r="P5" s="7">
        <f t="shared" si="2"/>
        <v>-37.599999999999994</v>
      </c>
      <c r="Q5" s="3"/>
    </row>
    <row r="6" spans="1:17" ht="15" customHeight="1">
      <c r="A6" s="1">
        <v>44721</v>
      </c>
      <c r="B6" s="39" t="s">
        <v>41</v>
      </c>
      <c r="C6" s="3" t="s">
        <v>42</v>
      </c>
      <c r="D6" s="27" t="s">
        <v>40</v>
      </c>
      <c r="E6" s="1"/>
      <c r="F6" s="5"/>
      <c r="G6" s="5"/>
      <c r="H6" s="5">
        <f t="shared" si="0"/>
        <v>0</v>
      </c>
      <c r="I6" s="5"/>
      <c r="J6" s="1"/>
      <c r="K6" s="5"/>
      <c r="L6" s="5">
        <f t="shared" si="1"/>
        <v>0</v>
      </c>
      <c r="M6" s="5">
        <v>24.15</v>
      </c>
      <c r="N6" s="1">
        <v>44721</v>
      </c>
      <c r="O6" s="6"/>
      <c r="P6" s="7">
        <f t="shared" si="2"/>
        <v>24.15</v>
      </c>
      <c r="Q6" s="3"/>
    </row>
    <row r="7" spans="1:17">
      <c r="A7" s="1">
        <v>44723</v>
      </c>
      <c r="B7" s="25" t="s">
        <v>17</v>
      </c>
      <c r="C7" s="3" t="s">
        <v>44</v>
      </c>
      <c r="D7" s="4" t="s">
        <v>43</v>
      </c>
      <c r="E7" s="1"/>
      <c r="F7" s="5">
        <v>110</v>
      </c>
      <c r="G7" s="5"/>
      <c r="H7" s="29">
        <f t="shared" si="0"/>
        <v>11</v>
      </c>
      <c r="I7" s="29"/>
      <c r="J7" s="1">
        <v>44750</v>
      </c>
      <c r="K7" s="5">
        <v>1.2</v>
      </c>
      <c r="L7" s="5">
        <f t="shared" si="1"/>
        <v>13.2</v>
      </c>
      <c r="M7" s="5">
        <v>200</v>
      </c>
      <c r="N7" s="1">
        <v>44731</v>
      </c>
      <c r="O7" s="6"/>
      <c r="P7" s="7">
        <f t="shared" si="2"/>
        <v>65.800000000000011</v>
      </c>
      <c r="Q7" s="3"/>
    </row>
    <row r="8" spans="1:17">
      <c r="A8" s="1">
        <v>44723</v>
      </c>
      <c r="B8" s="25" t="s">
        <v>46</v>
      </c>
      <c r="C8" s="3" t="s">
        <v>42</v>
      </c>
      <c r="D8" s="4" t="s">
        <v>45</v>
      </c>
      <c r="E8" s="1"/>
      <c r="F8" s="5">
        <v>38.97</v>
      </c>
      <c r="G8" s="5"/>
      <c r="H8" s="29">
        <f t="shared" si="0"/>
        <v>3.8969999999999998</v>
      </c>
      <c r="I8" s="29"/>
      <c r="J8" s="1">
        <v>44747</v>
      </c>
      <c r="K8" s="5">
        <v>0.1</v>
      </c>
      <c r="L8" s="5">
        <f t="shared" si="1"/>
        <v>1.1000000000000001</v>
      </c>
      <c r="M8" s="5">
        <v>18.71</v>
      </c>
      <c r="N8" s="1">
        <v>44726</v>
      </c>
      <c r="O8" s="6"/>
      <c r="P8" s="7">
        <f t="shared" si="2"/>
        <v>-25.256999999999998</v>
      </c>
      <c r="Q8" s="3"/>
    </row>
    <row r="9" spans="1:17">
      <c r="A9" s="1">
        <v>44724</v>
      </c>
      <c r="B9" s="25" t="s">
        <v>47</v>
      </c>
      <c r="C9" s="3" t="s">
        <v>28</v>
      </c>
      <c r="D9" s="4" t="s">
        <v>110</v>
      </c>
      <c r="E9" s="1"/>
      <c r="F9" s="5">
        <v>273</v>
      </c>
      <c r="G9" s="5"/>
      <c r="H9" s="29">
        <f t="shared" si="0"/>
        <v>27.3</v>
      </c>
      <c r="I9" s="5"/>
      <c r="J9" s="1">
        <v>44769</v>
      </c>
      <c r="K9" s="5">
        <v>3.3</v>
      </c>
      <c r="L9" s="5">
        <f t="shared" si="1"/>
        <v>36.299999999999997</v>
      </c>
      <c r="M9" s="5">
        <v>65</v>
      </c>
      <c r="N9" s="1">
        <v>44753</v>
      </c>
      <c r="O9" s="6"/>
      <c r="P9" s="7">
        <f t="shared" si="2"/>
        <v>-271.60000000000002</v>
      </c>
      <c r="Q9" s="3"/>
    </row>
    <row r="10" spans="1:17">
      <c r="A10" s="1">
        <v>44724</v>
      </c>
      <c r="B10" s="25" t="s">
        <v>49</v>
      </c>
      <c r="C10" s="3" t="s">
        <v>28</v>
      </c>
      <c r="D10" s="4" t="s">
        <v>48</v>
      </c>
      <c r="E10" s="1"/>
      <c r="F10" s="5">
        <v>136</v>
      </c>
      <c r="G10" s="5"/>
      <c r="H10" s="29">
        <f t="shared" si="0"/>
        <v>13.600000000000001</v>
      </c>
      <c r="I10" s="29"/>
      <c r="J10" s="1">
        <v>44750</v>
      </c>
      <c r="K10" s="5">
        <v>0.4</v>
      </c>
      <c r="L10" s="5">
        <f t="shared" si="1"/>
        <v>4.4000000000000004</v>
      </c>
      <c r="M10" s="5">
        <v>750</v>
      </c>
      <c r="N10" s="1">
        <v>44765</v>
      </c>
      <c r="O10" s="6"/>
      <c r="P10" s="7">
        <f t="shared" si="2"/>
        <v>596</v>
      </c>
      <c r="Q10" s="3"/>
    </row>
    <row r="11" spans="1:17">
      <c r="A11" s="1">
        <v>44725</v>
      </c>
      <c r="B11" s="25" t="s">
        <v>51</v>
      </c>
      <c r="C11" s="3" t="s">
        <v>44</v>
      </c>
      <c r="D11" s="4" t="s">
        <v>50</v>
      </c>
      <c r="E11" s="1"/>
      <c r="F11" s="5">
        <v>71.67</v>
      </c>
      <c r="G11" s="5"/>
      <c r="H11" s="29">
        <f t="shared" si="0"/>
        <v>7.1669999999999998</v>
      </c>
      <c r="I11" s="5"/>
      <c r="J11" s="1">
        <v>44769</v>
      </c>
      <c r="K11" s="5">
        <v>1.75</v>
      </c>
      <c r="L11" s="5">
        <f t="shared" si="1"/>
        <v>19.25</v>
      </c>
      <c r="M11" s="5">
        <v>249</v>
      </c>
      <c r="N11" s="1">
        <v>44750</v>
      </c>
      <c r="O11" s="6"/>
      <c r="P11" s="7">
        <f t="shared" si="2"/>
        <v>150.91300000000001</v>
      </c>
      <c r="Q11" s="3"/>
    </row>
    <row r="12" spans="1:17">
      <c r="A12" s="1">
        <v>44725</v>
      </c>
      <c r="B12" s="2" t="s">
        <v>58</v>
      </c>
      <c r="C12" s="3" t="s">
        <v>57</v>
      </c>
      <c r="D12" s="4" t="s">
        <v>56</v>
      </c>
      <c r="E12" s="1"/>
      <c r="F12" s="5">
        <v>96</v>
      </c>
      <c r="G12" s="5">
        <f>(F12/100)*4</f>
        <v>3.84</v>
      </c>
      <c r="H12" s="29">
        <f t="shared" si="0"/>
        <v>9.6</v>
      </c>
      <c r="I12" s="29">
        <v>-4.8</v>
      </c>
      <c r="J12" s="1">
        <v>44757</v>
      </c>
      <c r="K12" s="5">
        <v>0.85</v>
      </c>
      <c r="L12" s="5">
        <f t="shared" si="1"/>
        <v>9.35</v>
      </c>
      <c r="M12" s="5">
        <f>110+8.79</f>
        <v>118.78999999999999</v>
      </c>
      <c r="N12" s="1">
        <v>44725</v>
      </c>
      <c r="O12" s="6"/>
      <c r="P12" s="7">
        <f t="shared" si="2"/>
        <v>0</v>
      </c>
      <c r="Q12" s="3"/>
    </row>
    <row r="13" spans="1:17" ht="15" customHeight="1">
      <c r="A13" s="1">
        <v>44726</v>
      </c>
      <c r="B13" s="25" t="s">
        <v>60</v>
      </c>
      <c r="C13" s="3" t="s">
        <v>61</v>
      </c>
      <c r="D13" s="4" t="s">
        <v>59</v>
      </c>
      <c r="E13" s="1"/>
      <c r="F13" s="5">
        <v>479</v>
      </c>
      <c r="G13" s="5"/>
      <c r="H13" s="29">
        <f t="shared" si="0"/>
        <v>47.9</v>
      </c>
      <c r="I13" s="29"/>
      <c r="J13" s="1">
        <v>44750</v>
      </c>
      <c r="K13" s="5">
        <v>5.0999999999999996</v>
      </c>
      <c r="L13" s="5">
        <f t="shared" si="1"/>
        <v>56.099999999999994</v>
      </c>
      <c r="M13" s="5">
        <v>687</v>
      </c>
      <c r="N13" s="1">
        <v>44727</v>
      </c>
      <c r="O13" s="6"/>
      <c r="P13" s="7">
        <f t="shared" si="2"/>
        <v>104</v>
      </c>
      <c r="Q13" s="3"/>
    </row>
    <row r="14" spans="1:17">
      <c r="A14" s="1">
        <v>44726</v>
      </c>
      <c r="B14" s="25" t="s">
        <v>63</v>
      </c>
      <c r="C14" s="3" t="s">
        <v>64</v>
      </c>
      <c r="D14" s="4" t="s">
        <v>62</v>
      </c>
      <c r="E14" s="1"/>
      <c r="F14" s="5">
        <v>168.58</v>
      </c>
      <c r="G14" s="5"/>
      <c r="H14" s="29">
        <f t="shared" si="0"/>
        <v>16.858000000000001</v>
      </c>
      <c r="I14" s="29"/>
      <c r="J14" s="1">
        <v>44750</v>
      </c>
      <c r="K14" s="5">
        <v>1.8</v>
      </c>
      <c r="L14" s="5">
        <f t="shared" si="1"/>
        <v>19.8</v>
      </c>
      <c r="M14" s="5">
        <v>200</v>
      </c>
      <c r="N14" s="1">
        <v>44732</v>
      </c>
      <c r="O14" s="6"/>
      <c r="P14" s="7">
        <f t="shared" si="2"/>
        <v>-5.238000000000028</v>
      </c>
      <c r="Q14" s="3"/>
    </row>
    <row r="15" spans="1:17">
      <c r="A15" s="1">
        <v>44726</v>
      </c>
      <c r="B15" s="25" t="s">
        <v>17</v>
      </c>
      <c r="C15" s="3" t="s">
        <v>61</v>
      </c>
      <c r="D15" s="4" t="s">
        <v>65</v>
      </c>
      <c r="E15" s="1"/>
      <c r="F15" s="5">
        <v>133.51</v>
      </c>
      <c r="G15" s="5"/>
      <c r="H15" s="29">
        <f t="shared" si="0"/>
        <v>13.350999999999999</v>
      </c>
      <c r="I15" s="29"/>
      <c r="J15" s="1">
        <v>44750</v>
      </c>
      <c r="K15" s="5">
        <v>0</v>
      </c>
      <c r="L15" s="5">
        <f t="shared" si="1"/>
        <v>0</v>
      </c>
      <c r="M15" s="5">
        <v>43</v>
      </c>
      <c r="N15" s="1">
        <v>44750</v>
      </c>
      <c r="O15" s="6"/>
      <c r="P15" s="7">
        <f t="shared" si="2"/>
        <v>-103.86099999999999</v>
      </c>
      <c r="Q15" s="3"/>
    </row>
    <row r="16" spans="1:17" ht="15" customHeight="1">
      <c r="A16" s="1">
        <v>44728</v>
      </c>
      <c r="B16" s="25" t="s">
        <v>70</v>
      </c>
      <c r="C16" s="3" t="s">
        <v>69</v>
      </c>
      <c r="D16" s="4" t="s">
        <v>71</v>
      </c>
      <c r="E16" s="1"/>
      <c r="F16" s="5">
        <v>33.979999999999997</v>
      </c>
      <c r="G16" s="5"/>
      <c r="H16" s="29">
        <f t="shared" si="0"/>
        <v>3.3979999999999997</v>
      </c>
      <c r="I16" s="29"/>
      <c r="J16" s="1">
        <v>44747</v>
      </c>
      <c r="K16" s="5">
        <v>0.6</v>
      </c>
      <c r="L16" s="5">
        <f t="shared" si="1"/>
        <v>6.6</v>
      </c>
      <c r="M16" s="5">
        <v>200</v>
      </c>
      <c r="N16" s="1">
        <v>44732</v>
      </c>
      <c r="O16" s="6"/>
      <c r="P16" s="7">
        <f t="shared" si="2"/>
        <v>156.02199999999999</v>
      </c>
      <c r="Q16" s="3"/>
    </row>
    <row r="17" spans="1:17">
      <c r="A17" s="1">
        <v>44728</v>
      </c>
      <c r="B17" s="25" t="s">
        <v>63</v>
      </c>
      <c r="C17" s="3" t="s">
        <v>64</v>
      </c>
      <c r="D17" s="4" t="s">
        <v>72</v>
      </c>
      <c r="E17" s="1"/>
      <c r="F17" s="5">
        <v>65.47</v>
      </c>
      <c r="G17" s="5"/>
      <c r="H17" s="29">
        <f t="shared" si="0"/>
        <v>6.5469999999999997</v>
      </c>
      <c r="I17" s="29"/>
      <c r="J17" s="1">
        <v>44750</v>
      </c>
      <c r="K17" s="5">
        <v>0</v>
      </c>
      <c r="L17" s="5">
        <f t="shared" si="1"/>
        <v>0</v>
      </c>
      <c r="M17" s="5">
        <v>40</v>
      </c>
      <c r="N17" s="1">
        <v>44732</v>
      </c>
      <c r="O17" s="6"/>
      <c r="P17" s="7">
        <f t="shared" si="2"/>
        <v>-32.016999999999996</v>
      </c>
      <c r="Q17" s="3"/>
    </row>
    <row r="18" spans="1:17" ht="15" customHeight="1">
      <c r="A18" s="1">
        <v>44728</v>
      </c>
      <c r="B18" s="2" t="s">
        <v>41</v>
      </c>
      <c r="C18" s="3" t="s">
        <v>69</v>
      </c>
      <c r="D18" s="4" t="s">
        <v>73</v>
      </c>
      <c r="E18" s="1"/>
      <c r="F18" s="5">
        <v>65.87</v>
      </c>
      <c r="G18" s="5"/>
      <c r="H18" s="29">
        <f t="shared" si="0"/>
        <v>6.5870000000000006</v>
      </c>
      <c r="I18" s="5"/>
      <c r="J18" s="1">
        <v>44757</v>
      </c>
      <c r="K18" s="5">
        <v>0.35</v>
      </c>
      <c r="L18" s="5">
        <f t="shared" si="1"/>
        <v>3.8499999999999996</v>
      </c>
      <c r="M18" s="5">
        <v>55</v>
      </c>
      <c r="N18" s="1">
        <v>44779</v>
      </c>
      <c r="O18" s="6"/>
      <c r="P18" s="7">
        <f t="shared" si="2"/>
        <v>-21.307000000000002</v>
      </c>
      <c r="Q18" s="3" t="s">
        <v>167</v>
      </c>
    </row>
    <row r="19" spans="1:17" ht="15" customHeight="1">
      <c r="A19" s="1">
        <v>44729</v>
      </c>
      <c r="B19" s="2" t="s">
        <v>41</v>
      </c>
      <c r="C19" s="3" t="s">
        <v>69</v>
      </c>
      <c r="D19" s="4" t="s">
        <v>74</v>
      </c>
      <c r="E19" s="1"/>
      <c r="F19" s="5">
        <v>26.99</v>
      </c>
      <c r="G19" s="5"/>
      <c r="H19" s="29">
        <f t="shared" si="0"/>
        <v>2.6989999999999998</v>
      </c>
      <c r="I19" s="5"/>
      <c r="J19" s="1">
        <v>44757</v>
      </c>
      <c r="K19" s="5">
        <v>0</v>
      </c>
      <c r="L19" s="5">
        <f t="shared" si="1"/>
        <v>0</v>
      </c>
      <c r="M19" s="5">
        <v>50</v>
      </c>
      <c r="N19" s="1">
        <v>44793</v>
      </c>
      <c r="O19" s="6"/>
      <c r="P19" s="7">
        <f t="shared" si="2"/>
        <v>20.311</v>
      </c>
      <c r="Q19" s="3"/>
    </row>
    <row r="20" spans="1:17">
      <c r="A20" s="1">
        <v>44729</v>
      </c>
      <c r="B20" s="25" t="s">
        <v>77</v>
      </c>
      <c r="C20" s="3" t="s">
        <v>76</v>
      </c>
      <c r="D20" s="4" t="s">
        <v>75</v>
      </c>
      <c r="E20" s="1"/>
      <c r="F20" s="5">
        <v>436.37</v>
      </c>
      <c r="G20" s="5"/>
      <c r="H20" s="29">
        <f t="shared" si="0"/>
        <v>43.637</v>
      </c>
      <c r="I20" s="29">
        <v>15.81</v>
      </c>
      <c r="J20" s="1">
        <v>44750</v>
      </c>
      <c r="K20" s="5">
        <v>2.4</v>
      </c>
      <c r="L20" s="5">
        <f t="shared" si="1"/>
        <v>26.4</v>
      </c>
      <c r="M20" s="5">
        <f>400+106</f>
        <v>506</v>
      </c>
      <c r="N20" s="1">
        <v>44732</v>
      </c>
      <c r="O20" s="6"/>
      <c r="P20" s="7">
        <f t="shared" si="2"/>
        <v>-0.40699999999998226</v>
      </c>
      <c r="Q20" s="3"/>
    </row>
    <row r="21" spans="1:17">
      <c r="A21" s="1">
        <v>44731</v>
      </c>
      <c r="B21" s="25" t="s">
        <v>79</v>
      </c>
      <c r="C21" s="3" t="s">
        <v>39</v>
      </c>
      <c r="D21" s="4" t="s">
        <v>78</v>
      </c>
      <c r="E21" s="1"/>
      <c r="F21" s="5">
        <v>69</v>
      </c>
      <c r="G21" s="5"/>
      <c r="H21" s="29">
        <f t="shared" si="0"/>
        <v>6.8999999999999995</v>
      </c>
      <c r="I21" s="29"/>
      <c r="J21" s="1">
        <v>44747</v>
      </c>
      <c r="K21" s="5">
        <v>0.8</v>
      </c>
      <c r="L21" s="5">
        <f t="shared" si="1"/>
        <v>8.8000000000000007</v>
      </c>
      <c r="M21" s="5">
        <v>100</v>
      </c>
      <c r="N21" s="1">
        <v>44734</v>
      </c>
      <c r="O21" s="6"/>
      <c r="P21" s="7">
        <f t="shared" si="2"/>
        <v>15.299999999999997</v>
      </c>
      <c r="Q21" s="3"/>
    </row>
    <row r="22" spans="1:17" ht="15" customHeight="1">
      <c r="A22" s="1">
        <v>44731</v>
      </c>
      <c r="B22" s="25" t="s">
        <v>33</v>
      </c>
      <c r="C22" s="3" t="s">
        <v>81</v>
      </c>
      <c r="D22" s="4" t="s">
        <v>80</v>
      </c>
      <c r="E22" s="1"/>
      <c r="F22" s="5">
        <v>105.85</v>
      </c>
      <c r="G22" s="5"/>
      <c r="H22" s="29">
        <f t="shared" si="0"/>
        <v>10.585000000000001</v>
      </c>
      <c r="I22" s="29"/>
      <c r="J22" s="1">
        <v>44747</v>
      </c>
      <c r="K22" s="5">
        <v>1.1000000000000001</v>
      </c>
      <c r="L22" s="5">
        <f t="shared" si="1"/>
        <v>12.100000000000001</v>
      </c>
      <c r="M22" s="5">
        <v>116</v>
      </c>
      <c r="N22" s="1">
        <v>44732</v>
      </c>
      <c r="O22" s="6"/>
      <c r="P22" s="7">
        <f t="shared" si="2"/>
        <v>-12.534999999999997</v>
      </c>
      <c r="Q22" s="3"/>
    </row>
    <row r="23" spans="1:17">
      <c r="A23" s="1">
        <v>44729</v>
      </c>
      <c r="B23" s="25" t="s">
        <v>79</v>
      </c>
      <c r="C23" s="3" t="s">
        <v>84</v>
      </c>
      <c r="D23" s="4" t="s">
        <v>83</v>
      </c>
      <c r="E23" s="1"/>
      <c r="F23" s="5">
        <v>141.49</v>
      </c>
      <c r="G23" s="5"/>
      <c r="H23" s="29">
        <f t="shared" si="0"/>
        <v>14.149000000000001</v>
      </c>
      <c r="I23" s="5"/>
      <c r="J23" s="1">
        <v>44764</v>
      </c>
      <c r="K23" s="5">
        <v>1.1399999999999999</v>
      </c>
      <c r="L23" s="5">
        <f t="shared" si="1"/>
        <v>12.54</v>
      </c>
      <c r="M23" s="5">
        <v>280</v>
      </c>
      <c r="N23" s="1">
        <v>44735</v>
      </c>
      <c r="O23" s="6"/>
      <c r="P23" s="7">
        <f t="shared" si="2"/>
        <v>111.821</v>
      </c>
      <c r="Q23" s="3"/>
    </row>
    <row r="24" spans="1:17">
      <c r="A24" s="1">
        <v>44731</v>
      </c>
      <c r="B24" s="25" t="s">
        <v>87</v>
      </c>
      <c r="C24" s="3" t="s">
        <v>89</v>
      </c>
      <c r="D24" s="4" t="s">
        <v>88</v>
      </c>
      <c r="E24" s="1"/>
      <c r="F24" s="5">
        <v>62.39</v>
      </c>
      <c r="G24" s="5"/>
      <c r="H24" s="29">
        <f t="shared" si="0"/>
        <v>6.2389999999999999</v>
      </c>
      <c r="I24" s="29"/>
      <c r="J24" s="1">
        <v>44747</v>
      </c>
      <c r="K24" s="5">
        <v>0.4</v>
      </c>
      <c r="L24" s="5">
        <f t="shared" si="1"/>
        <v>4.4000000000000004</v>
      </c>
      <c r="M24" s="5">
        <v>24.26</v>
      </c>
      <c r="N24" s="1">
        <v>44744</v>
      </c>
      <c r="O24" s="6"/>
      <c r="P24" s="7">
        <f t="shared" si="2"/>
        <v>-48.769000000000005</v>
      </c>
      <c r="Q24" s="3"/>
    </row>
    <row r="25" spans="1:17">
      <c r="A25" s="1">
        <v>44731</v>
      </c>
      <c r="B25" s="25" t="s">
        <v>91</v>
      </c>
      <c r="C25" s="3" t="s">
        <v>89</v>
      </c>
      <c r="D25" s="4" t="s">
        <v>90</v>
      </c>
      <c r="E25" s="1"/>
      <c r="F25" s="5">
        <v>183.63</v>
      </c>
      <c r="G25" s="5"/>
      <c r="H25" s="29">
        <f t="shared" si="0"/>
        <v>18.363</v>
      </c>
      <c r="I25" s="5"/>
      <c r="J25" s="1">
        <v>44757</v>
      </c>
      <c r="K25" s="5">
        <v>0.5</v>
      </c>
      <c r="L25" s="5">
        <f t="shared" si="1"/>
        <v>5.5</v>
      </c>
      <c r="M25" s="5">
        <v>350</v>
      </c>
      <c r="N25" s="1">
        <v>44747</v>
      </c>
      <c r="O25" s="6"/>
      <c r="P25" s="7">
        <f t="shared" si="2"/>
        <v>142.50700000000001</v>
      </c>
      <c r="Q25" s="3" t="s">
        <v>168</v>
      </c>
    </row>
    <row r="26" spans="1:17">
      <c r="A26" s="1">
        <v>44731</v>
      </c>
      <c r="B26" s="25" t="s">
        <v>91</v>
      </c>
      <c r="C26" s="3" t="s">
        <v>89</v>
      </c>
      <c r="D26" s="4" t="s">
        <v>90</v>
      </c>
      <c r="E26" s="1"/>
      <c r="F26" s="5"/>
      <c r="G26" s="5"/>
      <c r="H26" s="29">
        <f t="shared" si="0"/>
        <v>0</v>
      </c>
      <c r="I26" s="5"/>
      <c r="J26" s="1">
        <v>44769</v>
      </c>
      <c r="K26" s="5">
        <v>0.25</v>
      </c>
      <c r="L26" s="5">
        <f t="shared" si="1"/>
        <v>2.75</v>
      </c>
      <c r="M26" s="5">
        <v>300</v>
      </c>
      <c r="N26" s="1">
        <v>44773</v>
      </c>
      <c r="O26" s="6"/>
      <c r="P26" s="7">
        <f t="shared" si="2"/>
        <v>297.25</v>
      </c>
      <c r="Q26" s="3">
        <v>1</v>
      </c>
    </row>
    <row r="27" spans="1:17" ht="15" customHeight="1">
      <c r="A27" s="1">
        <v>44731</v>
      </c>
      <c r="B27" s="2" t="s">
        <v>41</v>
      </c>
      <c r="C27" s="3" t="s">
        <v>69</v>
      </c>
      <c r="D27" s="4" t="s">
        <v>92</v>
      </c>
      <c r="E27" s="1"/>
      <c r="F27" s="5">
        <v>15.99</v>
      </c>
      <c r="G27" s="5"/>
      <c r="H27" s="29">
        <f t="shared" si="0"/>
        <v>1.5990000000000002</v>
      </c>
      <c r="I27" s="5"/>
      <c r="J27" s="1">
        <v>44757</v>
      </c>
      <c r="K27" s="5">
        <v>0</v>
      </c>
      <c r="L27" s="5">
        <f t="shared" si="1"/>
        <v>0</v>
      </c>
      <c r="M27" s="5">
        <v>200</v>
      </c>
      <c r="N27" s="1">
        <v>44814</v>
      </c>
      <c r="O27" s="6"/>
      <c r="P27" s="7">
        <f t="shared" si="2"/>
        <v>182.411</v>
      </c>
      <c r="Q27" s="3"/>
    </row>
    <row r="28" spans="1:17">
      <c r="A28" s="1">
        <v>44732</v>
      </c>
      <c r="B28" s="25" t="s">
        <v>91</v>
      </c>
      <c r="C28" s="3" t="s">
        <v>28</v>
      </c>
      <c r="D28" s="4" t="s">
        <v>93</v>
      </c>
      <c r="E28" s="1"/>
      <c r="F28" s="5">
        <v>105.56</v>
      </c>
      <c r="G28" s="5"/>
      <c r="H28" s="29">
        <f t="shared" si="0"/>
        <v>10.556000000000001</v>
      </c>
      <c r="I28" s="5"/>
      <c r="J28" s="1">
        <v>44769</v>
      </c>
      <c r="K28" s="5">
        <v>0</v>
      </c>
      <c r="L28" s="5">
        <f t="shared" si="1"/>
        <v>0</v>
      </c>
      <c r="M28" s="5">
        <v>670</v>
      </c>
      <c r="N28" s="1">
        <v>44772</v>
      </c>
      <c r="O28" s="6"/>
      <c r="P28" s="7">
        <f t="shared" si="2"/>
        <v>553.88400000000001</v>
      </c>
      <c r="Q28" s="3"/>
    </row>
    <row r="29" spans="1:17" ht="15" customHeight="1">
      <c r="A29" s="1">
        <v>44732</v>
      </c>
      <c r="B29" s="25" t="s">
        <v>95</v>
      </c>
      <c r="C29" s="3" t="s">
        <v>28</v>
      </c>
      <c r="D29" s="4" t="s">
        <v>94</v>
      </c>
      <c r="E29" s="1"/>
      <c r="F29" s="5">
        <v>186</v>
      </c>
      <c r="G29" s="5"/>
      <c r="H29" s="29">
        <f t="shared" si="0"/>
        <v>18.600000000000001</v>
      </c>
      <c r="I29" s="5"/>
      <c r="J29" s="1">
        <v>44753</v>
      </c>
      <c r="K29" s="5">
        <v>1.3</v>
      </c>
      <c r="L29" s="5">
        <f t="shared" si="1"/>
        <v>14.3</v>
      </c>
      <c r="M29" s="5">
        <v>800</v>
      </c>
      <c r="N29" s="1">
        <v>44776</v>
      </c>
      <c r="O29" s="6"/>
      <c r="P29" s="7">
        <f t="shared" si="2"/>
        <v>581.1</v>
      </c>
      <c r="Q29" s="3"/>
    </row>
    <row r="30" spans="1:17">
      <c r="A30" s="1">
        <v>44732</v>
      </c>
      <c r="B30" s="25" t="s">
        <v>96</v>
      </c>
      <c r="C30" s="3" t="s">
        <v>28</v>
      </c>
      <c r="D30" s="4" t="s">
        <v>97</v>
      </c>
      <c r="E30" s="1"/>
      <c r="F30" s="5">
        <v>391.64</v>
      </c>
      <c r="G30" s="5"/>
      <c r="H30" s="29">
        <f t="shared" si="0"/>
        <v>39.164000000000001</v>
      </c>
      <c r="I30" s="5"/>
      <c r="J30" s="1">
        <v>44753</v>
      </c>
      <c r="K30" s="5">
        <v>0</v>
      </c>
      <c r="L30" s="5">
        <f t="shared" si="1"/>
        <v>0</v>
      </c>
      <c r="M30" s="5">
        <v>341</v>
      </c>
      <c r="N30" s="1">
        <v>44777</v>
      </c>
      <c r="O30" s="6"/>
      <c r="P30" s="7">
        <f t="shared" si="2"/>
        <v>-89.803999999999974</v>
      </c>
      <c r="Q30" s="3"/>
    </row>
    <row r="31" spans="1:17">
      <c r="A31" s="1">
        <v>44732</v>
      </c>
      <c r="B31" s="25" t="s">
        <v>99</v>
      </c>
      <c r="C31" s="3" t="s">
        <v>28</v>
      </c>
      <c r="D31" s="4" t="s">
        <v>98</v>
      </c>
      <c r="E31" s="1"/>
      <c r="F31" s="5">
        <v>198</v>
      </c>
      <c r="G31" s="5"/>
      <c r="H31" s="29">
        <f t="shared" si="0"/>
        <v>19.8</v>
      </c>
      <c r="I31" s="29"/>
      <c r="J31" s="1">
        <v>44747</v>
      </c>
      <c r="K31" s="5">
        <v>0.4</v>
      </c>
      <c r="L31" s="5">
        <f t="shared" si="1"/>
        <v>4.4000000000000004</v>
      </c>
      <c r="M31" s="5">
        <v>1800</v>
      </c>
      <c r="N31" s="1">
        <v>44777</v>
      </c>
      <c r="O31" s="6"/>
      <c r="P31" s="7">
        <f t="shared" si="2"/>
        <v>1577.8</v>
      </c>
      <c r="Q31" s="3"/>
    </row>
    <row r="32" spans="1:17">
      <c r="A32" s="1">
        <v>44733</v>
      </c>
      <c r="B32" s="25" t="s">
        <v>100</v>
      </c>
      <c r="C32" s="3" t="s">
        <v>28</v>
      </c>
      <c r="D32" s="4" t="s">
        <v>112</v>
      </c>
      <c r="E32" s="1"/>
      <c r="F32" s="5">
        <v>1300</v>
      </c>
      <c r="G32" s="5"/>
      <c r="H32" s="29">
        <f t="shared" si="0"/>
        <v>130</v>
      </c>
      <c r="I32" s="29"/>
      <c r="J32" s="1">
        <v>44750</v>
      </c>
      <c r="K32" s="5">
        <v>0</v>
      </c>
      <c r="L32" s="5">
        <f t="shared" si="1"/>
        <v>0</v>
      </c>
      <c r="M32" s="5">
        <v>400</v>
      </c>
      <c r="N32" s="1">
        <v>44778</v>
      </c>
      <c r="O32" s="6"/>
      <c r="P32" s="7">
        <f t="shared" si="2"/>
        <v>-1030</v>
      </c>
      <c r="Q32" s="3"/>
    </row>
    <row r="33" spans="1:17" ht="15" customHeight="1">
      <c r="A33" s="1">
        <v>44733</v>
      </c>
      <c r="B33" s="25" t="s">
        <v>70</v>
      </c>
      <c r="C33" s="3" t="s">
        <v>69</v>
      </c>
      <c r="D33" s="4" t="s">
        <v>101</v>
      </c>
      <c r="E33" s="1"/>
      <c r="F33" s="5">
        <v>32.979999999999997</v>
      </c>
      <c r="G33" s="5"/>
      <c r="H33" s="29">
        <f t="shared" si="0"/>
        <v>3.298</v>
      </c>
      <c r="I33" s="29"/>
      <c r="J33" s="1">
        <v>44747</v>
      </c>
      <c r="K33" s="5">
        <v>0</v>
      </c>
      <c r="L33" s="5">
        <f t="shared" si="1"/>
        <v>0</v>
      </c>
      <c r="M33" s="5">
        <v>600</v>
      </c>
      <c r="N33" s="1">
        <v>44842</v>
      </c>
      <c r="O33" s="6"/>
      <c r="P33" s="7">
        <f t="shared" si="2"/>
        <v>563.72199999999998</v>
      </c>
      <c r="Q33" s="3"/>
    </row>
    <row r="34" spans="1:17">
      <c r="A34" s="1">
        <v>44733</v>
      </c>
      <c r="B34" s="25" t="s">
        <v>63</v>
      </c>
      <c r="C34" s="3" t="s">
        <v>84</v>
      </c>
      <c r="D34" s="4" t="s">
        <v>102</v>
      </c>
      <c r="E34" s="1"/>
      <c r="F34" s="5">
        <v>112.98</v>
      </c>
      <c r="G34" s="5"/>
      <c r="H34" s="29">
        <f t="shared" si="0"/>
        <v>11.298000000000002</v>
      </c>
      <c r="I34" s="5"/>
      <c r="J34" s="1">
        <v>44757</v>
      </c>
      <c r="K34" s="5">
        <v>1.1000000000000001</v>
      </c>
      <c r="L34" s="5">
        <f t="shared" si="1"/>
        <v>12.100000000000001</v>
      </c>
      <c r="M34" s="5">
        <f>12+12.53</f>
        <v>24.53</v>
      </c>
      <c r="N34" s="1">
        <v>44758</v>
      </c>
      <c r="O34" s="6"/>
      <c r="P34" s="7">
        <f t="shared" si="2"/>
        <v>-111.84800000000001</v>
      </c>
      <c r="Q34" s="3" t="s">
        <v>170</v>
      </c>
    </row>
    <row r="35" spans="1:17">
      <c r="A35" s="1">
        <v>44733</v>
      </c>
      <c r="B35" s="25" t="s">
        <v>63</v>
      </c>
      <c r="C35" s="3" t="s">
        <v>84</v>
      </c>
      <c r="D35" s="4" t="s">
        <v>102</v>
      </c>
      <c r="E35" s="1"/>
      <c r="F35" s="5"/>
      <c r="G35" s="5"/>
      <c r="H35" s="5">
        <f t="shared" si="0"/>
        <v>0</v>
      </c>
      <c r="I35" s="5"/>
      <c r="J35" s="1">
        <v>44769</v>
      </c>
      <c r="K35" s="5">
        <v>0.15</v>
      </c>
      <c r="L35" s="5">
        <f t="shared" si="1"/>
        <v>1.65</v>
      </c>
      <c r="M35" s="5">
        <v>1.67</v>
      </c>
      <c r="N35" s="1">
        <v>44777</v>
      </c>
      <c r="O35" s="6"/>
      <c r="P35" s="7">
        <f t="shared" si="2"/>
        <v>2.0000000000000018E-2</v>
      </c>
      <c r="Q35" s="3">
        <v>2</v>
      </c>
    </row>
    <row r="36" spans="1:17" ht="15" customHeight="1">
      <c r="A36" s="1">
        <v>44734</v>
      </c>
      <c r="B36" s="25" t="s">
        <v>105</v>
      </c>
      <c r="C36" s="3" t="s">
        <v>104</v>
      </c>
      <c r="D36" s="4" t="s">
        <v>103</v>
      </c>
      <c r="E36" s="1"/>
      <c r="F36" s="5">
        <v>289</v>
      </c>
      <c r="G36" s="5"/>
      <c r="H36" s="29">
        <f t="shared" si="0"/>
        <v>28.900000000000002</v>
      </c>
      <c r="I36" s="29"/>
      <c r="J36" s="1">
        <v>44747</v>
      </c>
      <c r="K36" s="5">
        <v>0.9</v>
      </c>
      <c r="L36" s="5">
        <f t="shared" si="1"/>
        <v>9.9</v>
      </c>
      <c r="M36" s="5">
        <f>320+10</f>
        <v>330</v>
      </c>
      <c r="N36" s="1">
        <v>44735</v>
      </c>
      <c r="O36" s="6"/>
      <c r="P36" s="7">
        <f t="shared" si="2"/>
        <v>2.2000000000000455</v>
      </c>
      <c r="Q36" s="3"/>
    </row>
    <row r="37" spans="1:17">
      <c r="A37" s="1">
        <v>44734</v>
      </c>
      <c r="B37" s="25" t="s">
        <v>108</v>
      </c>
      <c r="C37" s="3" t="s">
        <v>109</v>
      </c>
      <c r="D37" s="4" t="s">
        <v>107</v>
      </c>
      <c r="E37" s="1"/>
      <c r="F37" s="5">
        <v>121.7</v>
      </c>
      <c r="G37" s="5"/>
      <c r="H37" s="29">
        <f t="shared" si="0"/>
        <v>12.170000000000002</v>
      </c>
      <c r="I37" s="29"/>
      <c r="J37" s="1">
        <v>44753</v>
      </c>
      <c r="K37" s="5">
        <v>0.35</v>
      </c>
      <c r="L37" s="5">
        <f t="shared" si="1"/>
        <v>3.8499999999999996</v>
      </c>
      <c r="M37" s="5">
        <f>9.83+46.21+78.36+3.31</f>
        <v>137.71</v>
      </c>
      <c r="N37" s="1">
        <v>44739</v>
      </c>
      <c r="O37" s="6"/>
      <c r="P37" s="7">
        <f t="shared" si="2"/>
        <v>-9.9999999999909051E-3</v>
      </c>
      <c r="Q37" s="3"/>
    </row>
    <row r="38" spans="1:17">
      <c r="A38" s="1">
        <v>44739</v>
      </c>
      <c r="B38" s="2" t="s">
        <v>51</v>
      </c>
      <c r="C38" s="3" t="s">
        <v>44</v>
      </c>
      <c r="D38" s="4" t="s">
        <v>111</v>
      </c>
      <c r="E38" s="1"/>
      <c r="F38" s="5">
        <v>132.30000000000001</v>
      </c>
      <c r="G38" s="5">
        <f>(F38/100)*4</f>
        <v>5.2920000000000007</v>
      </c>
      <c r="H38" s="29">
        <f t="shared" si="0"/>
        <v>13.230000000000002</v>
      </c>
      <c r="I38" s="29">
        <v>-6.62</v>
      </c>
      <c r="J38" s="1">
        <v>44764</v>
      </c>
      <c r="K38" s="5">
        <v>1.7</v>
      </c>
      <c r="L38" s="5">
        <f t="shared" si="1"/>
        <v>18.7</v>
      </c>
      <c r="M38" s="5">
        <v>150</v>
      </c>
      <c r="N38" s="1">
        <v>44761</v>
      </c>
      <c r="O38" s="6"/>
      <c r="P38" s="7">
        <f t="shared" si="2"/>
        <v>-19.521999999999991</v>
      </c>
      <c r="Q38" s="3"/>
    </row>
    <row r="39" spans="1:17">
      <c r="A39" s="1">
        <v>44740</v>
      </c>
      <c r="B39" s="25" t="s">
        <v>79</v>
      </c>
      <c r="C39" s="3" t="s">
        <v>39</v>
      </c>
      <c r="D39" s="4" t="s">
        <v>113</v>
      </c>
      <c r="E39" s="1"/>
      <c r="F39" s="5">
        <v>106.5</v>
      </c>
      <c r="G39" s="5"/>
      <c r="H39" s="29">
        <f t="shared" si="0"/>
        <v>10.649999999999999</v>
      </c>
      <c r="I39" s="29"/>
      <c r="J39" s="1">
        <v>44757</v>
      </c>
      <c r="K39" s="5">
        <v>0.7</v>
      </c>
      <c r="L39" s="5">
        <f t="shared" si="1"/>
        <v>7.6999999999999993</v>
      </c>
      <c r="M39" s="5">
        <v>120</v>
      </c>
      <c r="N39" s="1">
        <v>44742</v>
      </c>
      <c r="O39" s="6"/>
      <c r="P39" s="7">
        <f t="shared" si="2"/>
        <v>-4.8500000000000085</v>
      </c>
      <c r="Q39" s="3"/>
    </row>
    <row r="40" spans="1:17">
      <c r="A40" s="1">
        <v>44740</v>
      </c>
      <c r="B40" s="25" t="s">
        <v>17</v>
      </c>
      <c r="C40" s="3" t="s">
        <v>44</v>
      </c>
      <c r="D40" s="4" t="s">
        <v>114</v>
      </c>
      <c r="E40" s="1"/>
      <c r="F40" s="5">
        <v>128.75</v>
      </c>
      <c r="G40" s="5"/>
      <c r="H40" s="29">
        <f t="shared" si="0"/>
        <v>12.875</v>
      </c>
      <c r="I40" s="5"/>
      <c r="J40" s="1">
        <v>44776</v>
      </c>
      <c r="K40" s="5">
        <v>0</v>
      </c>
      <c r="L40" s="5">
        <f t="shared" si="1"/>
        <v>0</v>
      </c>
      <c r="M40" s="5">
        <v>23.19</v>
      </c>
      <c r="N40" s="1">
        <v>44764</v>
      </c>
      <c r="O40" s="6"/>
      <c r="P40" s="7">
        <f t="shared" si="2"/>
        <v>-118.435</v>
      </c>
      <c r="Q40" s="3"/>
    </row>
    <row r="41" spans="1:17" ht="15" customHeight="1">
      <c r="A41" s="1">
        <v>44740</v>
      </c>
      <c r="B41" s="25" t="s">
        <v>33</v>
      </c>
      <c r="C41" s="3" t="s">
        <v>116</v>
      </c>
      <c r="D41" s="4" t="s">
        <v>115</v>
      </c>
      <c r="E41" s="1"/>
      <c r="F41" s="5">
        <v>64.5</v>
      </c>
      <c r="G41" s="5"/>
      <c r="H41" s="29">
        <f t="shared" si="0"/>
        <v>6.45</v>
      </c>
      <c r="I41" s="29"/>
      <c r="J41" s="1">
        <v>44753</v>
      </c>
      <c r="K41" s="5">
        <v>1.4</v>
      </c>
      <c r="L41" s="5">
        <f t="shared" si="1"/>
        <v>15.399999999999999</v>
      </c>
      <c r="M41" s="5">
        <v>82.63</v>
      </c>
      <c r="N41" s="1">
        <v>44740</v>
      </c>
      <c r="O41" s="6"/>
      <c r="P41" s="7">
        <f t="shared" si="2"/>
        <v>-3.7199999999999989</v>
      </c>
      <c r="Q41" s="3"/>
    </row>
    <row r="42" spans="1:17" ht="15" customHeight="1">
      <c r="A42" s="1">
        <v>44740</v>
      </c>
      <c r="B42" s="25" t="s">
        <v>33</v>
      </c>
      <c r="C42" s="3" t="s">
        <v>32</v>
      </c>
      <c r="D42" s="4" t="s">
        <v>117</v>
      </c>
      <c r="E42" s="1"/>
      <c r="F42" s="5">
        <v>22.07</v>
      </c>
      <c r="G42" s="5"/>
      <c r="H42" s="29">
        <f t="shared" si="0"/>
        <v>2.2069999999999999</v>
      </c>
      <c r="I42" s="29"/>
      <c r="J42" s="1">
        <v>44757</v>
      </c>
      <c r="K42" s="5">
        <v>0.5</v>
      </c>
      <c r="L42" s="5">
        <f t="shared" si="1"/>
        <v>5.5</v>
      </c>
      <c r="M42" s="5">
        <v>100</v>
      </c>
      <c r="N42" s="1">
        <v>44758</v>
      </c>
      <c r="O42" s="6"/>
      <c r="P42" s="7">
        <f t="shared" si="2"/>
        <v>70.222999999999999</v>
      </c>
      <c r="Q42" s="3"/>
    </row>
    <row r="43" spans="1:17" ht="15" customHeight="1">
      <c r="A43" s="1">
        <v>44740</v>
      </c>
      <c r="B43" s="30" t="s">
        <v>33</v>
      </c>
      <c r="C43" s="3" t="s">
        <v>116</v>
      </c>
      <c r="D43" s="4" t="s">
        <v>117</v>
      </c>
      <c r="E43" s="1"/>
      <c r="F43" s="5">
        <v>19.5</v>
      </c>
      <c r="G43" s="5"/>
      <c r="H43" s="29">
        <f t="shared" si="0"/>
        <v>1.9500000000000002</v>
      </c>
      <c r="I43" s="29"/>
      <c r="J43" s="1">
        <v>44753</v>
      </c>
      <c r="K43" s="5">
        <v>0</v>
      </c>
      <c r="L43" s="5">
        <f t="shared" si="1"/>
        <v>0</v>
      </c>
      <c r="M43" s="5">
        <f>14.16+5</f>
        <v>19.16</v>
      </c>
      <c r="N43" s="1">
        <v>44742</v>
      </c>
      <c r="O43" s="6"/>
      <c r="P43" s="7">
        <f t="shared" si="2"/>
        <v>-2.2899999999999991</v>
      </c>
      <c r="Q43" s="3"/>
    </row>
    <row r="44" spans="1:17">
      <c r="A44" s="1">
        <v>44740</v>
      </c>
      <c r="B44" s="25" t="s">
        <v>120</v>
      </c>
      <c r="C44" s="3" t="s">
        <v>119</v>
      </c>
      <c r="D44" s="4" t="s">
        <v>118</v>
      </c>
      <c r="E44" s="1"/>
      <c r="F44" s="5">
        <f>36.56+5.45</f>
        <v>42.010000000000005</v>
      </c>
      <c r="G44" s="5"/>
      <c r="H44" s="29">
        <v>3.66</v>
      </c>
      <c r="I44" s="29"/>
      <c r="J44" s="1">
        <v>44757</v>
      </c>
      <c r="K44" s="5">
        <v>0.2</v>
      </c>
      <c r="L44" s="5">
        <f t="shared" si="1"/>
        <v>2.2000000000000002</v>
      </c>
      <c r="M44" s="5">
        <v>17</v>
      </c>
      <c r="N44" s="1">
        <v>44800</v>
      </c>
      <c r="O44" s="6"/>
      <c r="P44" s="7">
        <f t="shared" si="2"/>
        <v>-30.870000000000005</v>
      </c>
      <c r="Q44" s="3"/>
    </row>
    <row r="45" spans="1:17" ht="15" customHeight="1">
      <c r="A45" s="1">
        <v>44744</v>
      </c>
      <c r="B45" s="25" t="s">
        <v>70</v>
      </c>
      <c r="C45" s="3" t="s">
        <v>126</v>
      </c>
      <c r="D45" s="4" t="s">
        <v>127</v>
      </c>
      <c r="E45" s="1"/>
      <c r="F45" s="5">
        <v>14.49</v>
      </c>
      <c r="G45" s="5"/>
      <c r="H45" s="29">
        <f t="shared" ref="H45:H70" si="3">(F45/100)*10</f>
        <v>1.4490000000000001</v>
      </c>
      <c r="I45" s="29"/>
      <c r="J45" s="1">
        <v>44769</v>
      </c>
      <c r="K45" s="5">
        <v>0.3</v>
      </c>
      <c r="L45" s="5">
        <f t="shared" si="1"/>
        <v>3.3</v>
      </c>
      <c r="M45" s="5">
        <f>15.94+3.3</f>
        <v>19.239999999999998</v>
      </c>
      <c r="N45" s="1">
        <v>44744</v>
      </c>
      <c r="O45" s="6"/>
      <c r="P45" s="7">
        <f t="shared" si="2"/>
        <v>9.9999999999766942E-4</v>
      </c>
      <c r="Q45" s="3"/>
    </row>
    <row r="46" spans="1:17" ht="15" customHeight="1">
      <c r="A46" s="1">
        <v>44743</v>
      </c>
      <c r="B46" s="25" t="s">
        <v>41</v>
      </c>
      <c r="C46" s="3" t="s">
        <v>132</v>
      </c>
      <c r="D46" s="4" t="s">
        <v>131</v>
      </c>
      <c r="E46" s="1"/>
      <c r="F46" s="5">
        <v>46.2</v>
      </c>
      <c r="G46" s="5"/>
      <c r="H46" s="29">
        <f t="shared" si="3"/>
        <v>4.62</v>
      </c>
      <c r="I46" s="29"/>
      <c r="J46" s="1">
        <v>44757</v>
      </c>
      <c r="K46" s="5">
        <v>0.45</v>
      </c>
      <c r="L46" s="5">
        <f t="shared" si="1"/>
        <v>4.95</v>
      </c>
      <c r="M46" s="5">
        <v>159</v>
      </c>
      <c r="N46" s="1">
        <v>44763</v>
      </c>
      <c r="O46" s="6"/>
      <c r="P46" s="7">
        <f t="shared" si="2"/>
        <v>103.22999999999999</v>
      </c>
      <c r="Q46" s="3"/>
    </row>
    <row r="47" spans="1:17">
      <c r="A47" s="1">
        <v>44744</v>
      </c>
      <c r="B47" s="25" t="s">
        <v>17</v>
      </c>
      <c r="C47" s="3" t="s">
        <v>44</v>
      </c>
      <c r="D47" s="4" t="s">
        <v>133</v>
      </c>
      <c r="E47" s="1"/>
      <c r="F47" s="5">
        <v>26.15</v>
      </c>
      <c r="G47" s="5"/>
      <c r="H47" s="29">
        <f t="shared" si="3"/>
        <v>2.6150000000000002</v>
      </c>
      <c r="I47" s="5"/>
      <c r="J47" s="1">
        <v>44776</v>
      </c>
      <c r="K47" s="5">
        <v>2.4</v>
      </c>
      <c r="L47" s="5">
        <f t="shared" si="1"/>
        <v>26.4</v>
      </c>
      <c r="M47" s="5">
        <v>20</v>
      </c>
      <c r="N47" s="1">
        <v>44771</v>
      </c>
      <c r="O47" s="6"/>
      <c r="P47" s="7">
        <f t="shared" si="2"/>
        <v>-35.164999999999999</v>
      </c>
      <c r="Q47" s="3"/>
    </row>
    <row r="48" spans="1:17" ht="15" customHeight="1">
      <c r="A48" s="1">
        <v>44745</v>
      </c>
      <c r="B48" s="25" t="s">
        <v>60</v>
      </c>
      <c r="C48" s="3" t="s">
        <v>64</v>
      </c>
      <c r="D48" s="4" t="s">
        <v>136</v>
      </c>
      <c r="E48" s="1"/>
      <c r="F48" s="5">
        <v>135</v>
      </c>
      <c r="G48" s="5"/>
      <c r="H48" s="29">
        <f t="shared" si="3"/>
        <v>13.5</v>
      </c>
      <c r="I48" s="29"/>
      <c r="J48" s="1">
        <v>44769</v>
      </c>
      <c r="K48" s="5">
        <v>1</v>
      </c>
      <c r="L48" s="5">
        <f t="shared" si="1"/>
        <v>11</v>
      </c>
      <c r="M48" s="5">
        <v>150</v>
      </c>
      <c r="N48" s="1">
        <v>44750</v>
      </c>
      <c r="O48" s="6"/>
      <c r="P48" s="7">
        <f t="shared" si="2"/>
        <v>-9.5</v>
      </c>
      <c r="Q48" s="3"/>
    </row>
    <row r="49" spans="1:17" ht="15" customHeight="1">
      <c r="A49" s="1">
        <v>44745</v>
      </c>
      <c r="B49" s="25" t="s">
        <v>60</v>
      </c>
      <c r="C49" s="3" t="s">
        <v>137</v>
      </c>
      <c r="D49" s="4" t="s">
        <v>136</v>
      </c>
      <c r="E49" s="1"/>
      <c r="F49" s="5">
        <v>25</v>
      </c>
      <c r="G49" s="5"/>
      <c r="H49" s="29">
        <f t="shared" si="3"/>
        <v>2.5</v>
      </c>
      <c r="I49" s="29"/>
      <c r="J49" s="1">
        <v>44769</v>
      </c>
      <c r="K49" s="5">
        <v>0.6</v>
      </c>
      <c r="L49" s="5">
        <f t="shared" si="1"/>
        <v>6.6</v>
      </c>
      <c r="M49" s="5">
        <f>27.71+6.39</f>
        <v>34.1</v>
      </c>
      <c r="N49" s="1">
        <v>44748</v>
      </c>
      <c r="O49" s="6"/>
      <c r="P49" s="7">
        <f t="shared" si="2"/>
        <v>0</v>
      </c>
      <c r="Q49" s="3"/>
    </row>
    <row r="50" spans="1:17">
      <c r="A50" s="1">
        <v>44746</v>
      </c>
      <c r="B50" s="25" t="s">
        <v>87</v>
      </c>
      <c r="C50" s="3" t="s">
        <v>39</v>
      </c>
      <c r="D50" s="4" t="s">
        <v>138</v>
      </c>
      <c r="E50" s="1"/>
      <c r="F50" s="5">
        <v>123.91</v>
      </c>
      <c r="G50" s="5"/>
      <c r="H50" s="29">
        <f t="shared" si="3"/>
        <v>12.390999999999998</v>
      </c>
      <c r="I50" s="29"/>
      <c r="J50" s="1">
        <v>44769</v>
      </c>
      <c r="K50" s="5">
        <v>2.2000000000000002</v>
      </c>
      <c r="L50" s="5">
        <f t="shared" si="1"/>
        <v>24.200000000000003</v>
      </c>
      <c r="M50" s="5">
        <v>200</v>
      </c>
      <c r="N50" s="1">
        <v>44748</v>
      </c>
      <c r="O50" s="6"/>
      <c r="P50" s="7">
        <f t="shared" si="2"/>
        <v>39.499000000000024</v>
      </c>
      <c r="Q50" s="3"/>
    </row>
    <row r="51" spans="1:17">
      <c r="A51" s="1">
        <v>44746</v>
      </c>
      <c r="B51" s="25" t="s">
        <v>139</v>
      </c>
      <c r="C51" s="3" t="s">
        <v>89</v>
      </c>
      <c r="D51" s="4">
        <v>465120196</v>
      </c>
      <c r="E51" s="1"/>
      <c r="F51" s="5">
        <v>90.31</v>
      </c>
      <c r="G51" s="5"/>
      <c r="H51" s="29">
        <f t="shared" si="3"/>
        <v>9.0310000000000006</v>
      </c>
      <c r="I51" s="29"/>
      <c r="J51" s="1">
        <v>44769</v>
      </c>
      <c r="K51" s="5">
        <v>0</v>
      </c>
      <c r="L51" s="5">
        <f t="shared" si="1"/>
        <v>0</v>
      </c>
      <c r="M51" s="5">
        <v>400</v>
      </c>
      <c r="N51" s="1">
        <v>44793</v>
      </c>
      <c r="O51" s="6"/>
      <c r="P51" s="7">
        <f t="shared" si="2"/>
        <v>300.65899999999999</v>
      </c>
      <c r="Q51" s="3"/>
    </row>
    <row r="52" spans="1:17">
      <c r="A52" s="1">
        <v>44746</v>
      </c>
      <c r="B52" s="25" t="s">
        <v>142</v>
      </c>
      <c r="C52" s="3" t="s">
        <v>141</v>
      </c>
      <c r="D52" s="4" t="s">
        <v>140</v>
      </c>
      <c r="E52" s="1"/>
      <c r="F52" s="5">
        <v>151</v>
      </c>
      <c r="G52" s="5"/>
      <c r="H52" s="29">
        <f t="shared" si="3"/>
        <v>15.1</v>
      </c>
      <c r="I52" s="29"/>
      <c r="J52" s="1">
        <v>44776</v>
      </c>
      <c r="K52" s="5">
        <v>0.9</v>
      </c>
      <c r="L52" s="5">
        <f t="shared" si="1"/>
        <v>9.9</v>
      </c>
      <c r="M52" s="5">
        <v>170.86</v>
      </c>
      <c r="N52" s="1">
        <v>44747</v>
      </c>
      <c r="O52" s="6"/>
      <c r="P52" s="7">
        <f t="shared" si="2"/>
        <v>-5.1399999999999864</v>
      </c>
      <c r="Q52" s="3"/>
    </row>
    <row r="53" spans="1:17">
      <c r="A53" s="1">
        <v>44746</v>
      </c>
      <c r="B53" s="25" t="s">
        <v>79</v>
      </c>
      <c r="C53" s="3" t="s">
        <v>39</v>
      </c>
      <c r="D53" s="4" t="s">
        <v>143</v>
      </c>
      <c r="E53" s="1"/>
      <c r="F53" s="5">
        <v>35.6</v>
      </c>
      <c r="G53" s="5"/>
      <c r="H53" s="29">
        <f t="shared" si="3"/>
        <v>3.5600000000000005</v>
      </c>
      <c r="I53" s="29"/>
      <c r="J53" s="1">
        <v>44776</v>
      </c>
      <c r="K53" s="5">
        <v>2.6</v>
      </c>
      <c r="L53" s="5">
        <f t="shared" si="1"/>
        <v>28.6</v>
      </c>
      <c r="M53" s="5">
        <v>200</v>
      </c>
      <c r="N53" s="1">
        <v>44761</v>
      </c>
      <c r="O53" s="6"/>
      <c r="P53" s="7">
        <f t="shared" si="2"/>
        <v>132.24</v>
      </c>
      <c r="Q53" s="3"/>
    </row>
    <row r="54" spans="1:17">
      <c r="A54" s="1">
        <v>44748</v>
      </c>
      <c r="B54" s="25" t="s">
        <v>108</v>
      </c>
      <c r="C54" s="3" t="s">
        <v>145</v>
      </c>
      <c r="D54" s="4" t="s">
        <v>144</v>
      </c>
      <c r="E54" s="1"/>
      <c r="F54" s="5">
        <v>55.65</v>
      </c>
      <c r="G54" s="5"/>
      <c r="H54" s="29">
        <f t="shared" si="3"/>
        <v>5.5649999999999995</v>
      </c>
      <c r="I54" s="29"/>
      <c r="J54" s="1">
        <v>44776</v>
      </c>
      <c r="K54" s="5">
        <v>3.2</v>
      </c>
      <c r="L54" s="5">
        <f t="shared" si="1"/>
        <v>35.200000000000003</v>
      </c>
      <c r="M54" s="5">
        <v>61.29</v>
      </c>
      <c r="N54" s="1">
        <v>44748</v>
      </c>
      <c r="O54" s="6"/>
      <c r="P54" s="7">
        <f t="shared" si="2"/>
        <v>-35.124999999999993</v>
      </c>
      <c r="Q54" s="3"/>
    </row>
    <row r="55" spans="1:17">
      <c r="A55" s="1">
        <v>44747</v>
      </c>
      <c r="B55" s="25" t="s">
        <v>87</v>
      </c>
      <c r="C55" s="3" t="s">
        <v>116</v>
      </c>
      <c r="D55" s="4" t="s">
        <v>146</v>
      </c>
      <c r="E55" s="1"/>
      <c r="F55" s="5">
        <v>32.47</v>
      </c>
      <c r="G55" s="5"/>
      <c r="H55" s="29">
        <f t="shared" si="3"/>
        <v>3.2469999999999999</v>
      </c>
      <c r="I55" s="29"/>
      <c r="J55" s="1">
        <v>44776</v>
      </c>
      <c r="K55" s="5">
        <v>0.6</v>
      </c>
      <c r="L55" s="5">
        <f t="shared" si="1"/>
        <v>6.6</v>
      </c>
      <c r="M55" s="5">
        <f>41.61+6.71</f>
        <v>48.32</v>
      </c>
      <c r="N55" s="1">
        <v>44749</v>
      </c>
      <c r="O55" s="6"/>
      <c r="P55" s="7">
        <f t="shared" si="2"/>
        <v>6.0030000000000001</v>
      </c>
      <c r="Q55" s="3"/>
    </row>
    <row r="56" spans="1:17">
      <c r="A56" s="1">
        <v>44749</v>
      </c>
      <c r="B56" s="25" t="s">
        <v>152</v>
      </c>
      <c r="C56" s="3" t="s">
        <v>153</v>
      </c>
      <c r="D56" s="4" t="s">
        <v>151</v>
      </c>
      <c r="E56" s="1"/>
      <c r="F56" s="5">
        <v>184.74</v>
      </c>
      <c r="G56" s="5"/>
      <c r="H56" s="29">
        <f t="shared" si="3"/>
        <v>18.474</v>
      </c>
      <c r="I56" s="29"/>
      <c r="J56" s="1">
        <v>44776</v>
      </c>
      <c r="K56" s="5">
        <v>2.8</v>
      </c>
      <c r="L56" s="5">
        <f t="shared" si="1"/>
        <v>30.799999999999997</v>
      </c>
      <c r="M56" s="5">
        <f>100+200</f>
        <v>300</v>
      </c>
      <c r="N56" s="1">
        <v>44750</v>
      </c>
      <c r="O56" s="6"/>
      <c r="P56" s="7">
        <f t="shared" si="2"/>
        <v>65.98599999999999</v>
      </c>
      <c r="Q56" s="3"/>
    </row>
    <row r="57" spans="1:17">
      <c r="A57" s="1">
        <v>44750</v>
      </c>
      <c r="B57" s="25" t="s">
        <v>108</v>
      </c>
      <c r="C57" s="3" t="s">
        <v>145</v>
      </c>
      <c r="D57" s="4" t="s">
        <v>154</v>
      </c>
      <c r="E57" s="1"/>
      <c r="F57" s="5">
        <v>59.37</v>
      </c>
      <c r="G57" s="5"/>
      <c r="H57" s="29">
        <f t="shared" si="3"/>
        <v>5.9370000000000003</v>
      </c>
      <c r="I57" s="29"/>
      <c r="J57" s="1">
        <v>44776</v>
      </c>
      <c r="K57" s="5">
        <v>0</v>
      </c>
      <c r="L57" s="5">
        <f t="shared" si="1"/>
        <v>0</v>
      </c>
      <c r="M57" s="5">
        <v>65.56</v>
      </c>
      <c r="N57" s="1">
        <v>44750</v>
      </c>
      <c r="O57" s="6"/>
      <c r="P57" s="7">
        <f t="shared" si="2"/>
        <v>0.25300000000000011</v>
      </c>
      <c r="Q57" s="3"/>
    </row>
    <row r="58" spans="1:17">
      <c r="A58" s="1">
        <v>44751</v>
      </c>
      <c r="B58" s="2" t="s">
        <v>156</v>
      </c>
      <c r="C58" s="3" t="s">
        <v>32</v>
      </c>
      <c r="D58" s="4" t="s">
        <v>155</v>
      </c>
      <c r="E58" s="1"/>
      <c r="F58" s="5">
        <v>46</v>
      </c>
      <c r="G58" s="5"/>
      <c r="H58" s="29">
        <f t="shared" si="3"/>
        <v>4.6000000000000005</v>
      </c>
      <c r="I58" s="29">
        <v>-2.2999999999999998</v>
      </c>
      <c r="J58" s="1">
        <v>44776</v>
      </c>
      <c r="K58" s="5">
        <v>0.7</v>
      </c>
      <c r="L58" s="5">
        <f t="shared" si="1"/>
        <v>7.6999999999999993</v>
      </c>
      <c r="M58" s="5">
        <v>16.7</v>
      </c>
      <c r="N58" s="1">
        <v>44778</v>
      </c>
      <c r="O58" s="6"/>
      <c r="P58" s="7">
        <f t="shared" si="2"/>
        <v>-41.599999999999994</v>
      </c>
      <c r="Q58" s="3"/>
    </row>
    <row r="59" spans="1:17">
      <c r="A59" s="1">
        <v>44751</v>
      </c>
      <c r="B59" s="25" t="s">
        <v>63</v>
      </c>
      <c r="C59" s="3" t="s">
        <v>158</v>
      </c>
      <c r="D59" s="4" t="s">
        <v>157</v>
      </c>
      <c r="E59" s="1"/>
      <c r="F59" s="5">
        <v>105.99</v>
      </c>
      <c r="G59" s="5"/>
      <c r="H59" s="29">
        <f t="shared" si="3"/>
        <v>10.598999999999998</v>
      </c>
      <c r="I59" s="5"/>
      <c r="J59" s="1">
        <v>44785</v>
      </c>
      <c r="K59" s="5">
        <v>2.5</v>
      </c>
      <c r="L59" s="5">
        <f t="shared" si="1"/>
        <v>27.5</v>
      </c>
      <c r="M59" s="5">
        <v>116.57</v>
      </c>
      <c r="N59" s="1">
        <v>44752</v>
      </c>
      <c r="O59" s="6"/>
      <c r="P59" s="7">
        <f t="shared" si="2"/>
        <v>-27.519000000000005</v>
      </c>
      <c r="Q59" s="3"/>
    </row>
    <row r="60" spans="1:17" ht="15" customHeight="1">
      <c r="A60" s="1">
        <v>44753</v>
      </c>
      <c r="B60" s="2" t="s">
        <v>41</v>
      </c>
      <c r="C60" s="3" t="s">
        <v>132</v>
      </c>
      <c r="D60" s="4" t="s">
        <v>163</v>
      </c>
      <c r="E60" s="1"/>
      <c r="F60" s="5">
        <v>15.05</v>
      </c>
      <c r="G60" s="5"/>
      <c r="H60" s="29">
        <f t="shared" si="3"/>
        <v>1.5049999999999999</v>
      </c>
      <c r="I60" s="5"/>
      <c r="J60" s="1">
        <v>44785</v>
      </c>
      <c r="K60" s="5">
        <v>0</v>
      </c>
      <c r="L60" s="5">
        <f t="shared" si="1"/>
        <v>0</v>
      </c>
      <c r="M60" s="5">
        <v>156.82</v>
      </c>
      <c r="N60" s="1">
        <v>44775</v>
      </c>
      <c r="O60" s="6"/>
      <c r="P60" s="7">
        <f t="shared" si="2"/>
        <v>140.26499999999999</v>
      </c>
      <c r="Q60" s="3"/>
    </row>
    <row r="61" spans="1:17" ht="15" customHeight="1">
      <c r="A61" s="1">
        <v>44754</v>
      </c>
      <c r="B61" s="25" t="s">
        <v>70</v>
      </c>
      <c r="C61" s="3" t="s">
        <v>166</v>
      </c>
      <c r="D61" s="4" t="s">
        <v>165</v>
      </c>
      <c r="E61" s="1"/>
      <c r="F61" s="5">
        <v>39.85</v>
      </c>
      <c r="G61" s="5"/>
      <c r="H61" s="29">
        <f t="shared" si="3"/>
        <v>3.9850000000000003</v>
      </c>
      <c r="I61" s="29"/>
      <c r="J61" s="1">
        <v>44776</v>
      </c>
      <c r="K61" s="5">
        <v>1.6</v>
      </c>
      <c r="L61" s="5">
        <f t="shared" si="1"/>
        <v>17.600000000000001</v>
      </c>
      <c r="M61" s="5">
        <v>62</v>
      </c>
      <c r="N61" s="1">
        <v>44786</v>
      </c>
      <c r="O61" s="6"/>
      <c r="P61" s="7">
        <f t="shared" si="2"/>
        <v>0.56499999999999773</v>
      </c>
      <c r="Q61" s="3"/>
    </row>
    <row r="62" spans="1:17">
      <c r="A62" s="1">
        <v>44755</v>
      </c>
      <c r="B62" s="25" t="s">
        <v>142</v>
      </c>
      <c r="C62" s="3" t="s">
        <v>141</v>
      </c>
      <c r="D62" s="4">
        <v>7000098698</v>
      </c>
      <c r="E62" s="1"/>
      <c r="F62" s="5">
        <v>347.25</v>
      </c>
      <c r="G62" s="5"/>
      <c r="H62" s="29">
        <f t="shared" si="3"/>
        <v>34.725000000000001</v>
      </c>
      <c r="I62" s="29"/>
      <c r="J62" s="1">
        <v>44776</v>
      </c>
      <c r="K62" s="5">
        <v>0</v>
      </c>
      <c r="L62" s="5">
        <f t="shared" si="1"/>
        <v>0</v>
      </c>
      <c r="M62" s="5">
        <v>384.61</v>
      </c>
      <c r="N62" s="1">
        <v>44755</v>
      </c>
      <c r="O62" s="6"/>
      <c r="P62" s="7">
        <f t="shared" si="2"/>
        <v>2.6349999999999909</v>
      </c>
      <c r="Q62" s="3"/>
    </row>
    <row r="63" spans="1:17">
      <c r="A63" s="1">
        <v>44756</v>
      </c>
      <c r="B63" s="25" t="s">
        <v>58</v>
      </c>
      <c r="C63" s="3" t="s">
        <v>119</v>
      </c>
      <c r="D63" s="4" t="s">
        <v>169</v>
      </c>
      <c r="E63" s="1"/>
      <c r="F63" s="5">
        <v>511.96</v>
      </c>
      <c r="G63" s="5"/>
      <c r="H63" s="29">
        <f t="shared" si="3"/>
        <v>51.195999999999998</v>
      </c>
      <c r="I63" s="5"/>
      <c r="J63" s="1">
        <v>44785</v>
      </c>
      <c r="K63" s="5">
        <v>2.2999999999999998</v>
      </c>
      <c r="L63" s="5">
        <f t="shared" si="1"/>
        <v>25.299999999999997</v>
      </c>
      <c r="M63" s="5">
        <v>570</v>
      </c>
      <c r="N63" s="1">
        <v>44756</v>
      </c>
      <c r="O63" s="6"/>
      <c r="P63" s="7">
        <f t="shared" si="2"/>
        <v>-18.455999999999904</v>
      </c>
      <c r="Q63" s="3"/>
    </row>
    <row r="64" spans="1:17" ht="15" customHeight="1">
      <c r="A64" s="1">
        <v>44757</v>
      </c>
      <c r="B64" s="25" t="s">
        <v>60</v>
      </c>
      <c r="C64" s="3" t="s">
        <v>64</v>
      </c>
      <c r="D64" s="4" t="s">
        <v>173</v>
      </c>
      <c r="E64" s="1"/>
      <c r="F64" s="5">
        <v>54.95</v>
      </c>
      <c r="G64" s="5"/>
      <c r="H64" s="29">
        <f t="shared" si="3"/>
        <v>5.4950000000000001</v>
      </c>
      <c r="I64" s="29"/>
      <c r="J64" s="1">
        <v>44776</v>
      </c>
      <c r="K64" s="5">
        <v>0.4</v>
      </c>
      <c r="L64" s="5">
        <f t="shared" si="1"/>
        <v>4.4000000000000004</v>
      </c>
      <c r="M64" s="5">
        <v>300</v>
      </c>
      <c r="N64" s="1">
        <v>44760</v>
      </c>
      <c r="O64" s="6"/>
      <c r="P64" s="7">
        <f t="shared" si="2"/>
        <v>235.155</v>
      </c>
      <c r="Q64" s="3"/>
    </row>
    <row r="65" spans="1:17">
      <c r="A65" s="1">
        <v>44757</v>
      </c>
      <c r="B65" s="25" t="s">
        <v>17</v>
      </c>
      <c r="C65" s="3" t="s">
        <v>44</v>
      </c>
      <c r="D65" s="4" t="s">
        <v>174</v>
      </c>
      <c r="E65" s="1"/>
      <c r="F65" s="5">
        <v>31.4</v>
      </c>
      <c r="G65" s="5"/>
      <c r="H65" s="29">
        <f t="shared" si="3"/>
        <v>3.14</v>
      </c>
      <c r="I65" s="5"/>
      <c r="J65" s="1">
        <v>44790</v>
      </c>
      <c r="K65" s="5">
        <v>1.1499999999999999</v>
      </c>
      <c r="L65" s="5">
        <f t="shared" si="1"/>
        <v>12.649999999999999</v>
      </c>
      <c r="M65" s="5">
        <v>30</v>
      </c>
      <c r="N65" s="1">
        <v>44777</v>
      </c>
      <c r="O65" s="6"/>
      <c r="P65" s="7">
        <f t="shared" si="2"/>
        <v>-17.189999999999998</v>
      </c>
      <c r="Q65" s="3"/>
    </row>
    <row r="66" spans="1:17">
      <c r="A66" s="1">
        <v>44757</v>
      </c>
      <c r="B66" s="25" t="s">
        <v>176</v>
      </c>
      <c r="C66" s="3" t="s">
        <v>64</v>
      </c>
      <c r="D66" s="4" t="s">
        <v>175</v>
      </c>
      <c r="E66" s="1"/>
      <c r="F66" s="5">
        <v>143.13999999999999</v>
      </c>
      <c r="G66" s="5"/>
      <c r="H66" s="29">
        <f t="shared" si="3"/>
        <v>14.313999999999998</v>
      </c>
      <c r="I66" s="5"/>
      <c r="J66" s="1">
        <v>44785</v>
      </c>
      <c r="K66" s="5">
        <v>1.95</v>
      </c>
      <c r="L66" s="5">
        <f t="shared" ref="L66:L130" si="4">K66*11</f>
        <v>21.45</v>
      </c>
      <c r="M66" s="5"/>
      <c r="N66" s="1"/>
      <c r="O66" s="6"/>
      <c r="P66" s="7">
        <f t="shared" ref="P66:P130" si="5">M66-(F66+G66+H66+L66)</f>
        <v>-178.90399999999997</v>
      </c>
      <c r="Q66" s="3"/>
    </row>
    <row r="67" spans="1:17">
      <c r="A67" s="1">
        <v>44757</v>
      </c>
      <c r="B67" s="25" t="s">
        <v>17</v>
      </c>
      <c r="C67" s="3" t="s">
        <v>44</v>
      </c>
      <c r="D67" s="4" t="s">
        <v>177</v>
      </c>
      <c r="E67" s="1"/>
      <c r="F67" s="5">
        <v>31.55</v>
      </c>
      <c r="G67" s="5"/>
      <c r="H67" s="29">
        <f t="shared" si="3"/>
        <v>3.1550000000000002</v>
      </c>
      <c r="I67" s="5"/>
      <c r="J67" s="1">
        <v>44790</v>
      </c>
      <c r="K67" s="5">
        <v>0</v>
      </c>
      <c r="L67" s="5">
        <f t="shared" si="4"/>
        <v>0</v>
      </c>
      <c r="M67" s="5">
        <v>98.28</v>
      </c>
      <c r="N67" s="1">
        <v>44793</v>
      </c>
      <c r="O67" s="6"/>
      <c r="P67" s="7">
        <f t="shared" si="5"/>
        <v>63.575000000000003</v>
      </c>
      <c r="Q67" s="3"/>
    </row>
    <row r="68" spans="1:17" ht="15" customHeight="1">
      <c r="A68" s="1">
        <v>44758</v>
      </c>
      <c r="B68" s="2" t="s">
        <v>17</v>
      </c>
      <c r="C68" s="3" t="s">
        <v>119</v>
      </c>
      <c r="D68" s="4" t="s">
        <v>178</v>
      </c>
      <c r="E68" s="1"/>
      <c r="F68" s="5">
        <v>171.2</v>
      </c>
      <c r="G68" s="5"/>
      <c r="H68" s="29">
        <f t="shared" si="3"/>
        <v>17.12</v>
      </c>
      <c r="I68" s="29"/>
      <c r="J68" s="1">
        <v>44785</v>
      </c>
      <c r="K68" s="5">
        <v>0</v>
      </c>
      <c r="L68" s="5">
        <f t="shared" si="4"/>
        <v>0</v>
      </c>
      <c r="M68" s="5">
        <v>250</v>
      </c>
      <c r="N68" s="1">
        <v>44764</v>
      </c>
      <c r="O68" s="6"/>
      <c r="P68" s="7">
        <f t="shared" si="5"/>
        <v>61.680000000000007</v>
      </c>
      <c r="Q68" s="3"/>
    </row>
    <row r="69" spans="1:17">
      <c r="A69" s="1">
        <v>44758</v>
      </c>
      <c r="B69" s="25" t="s">
        <v>180</v>
      </c>
      <c r="C69" s="3" t="s">
        <v>141</v>
      </c>
      <c r="D69" s="4" t="s">
        <v>179</v>
      </c>
      <c r="E69" s="1"/>
      <c r="F69" s="5">
        <v>99</v>
      </c>
      <c r="G69" s="5"/>
      <c r="H69" s="29">
        <f t="shared" si="3"/>
        <v>9.9</v>
      </c>
      <c r="I69" s="5"/>
      <c r="J69" s="1">
        <v>44785</v>
      </c>
      <c r="K69" s="5">
        <v>0.4</v>
      </c>
      <c r="L69" s="5">
        <f t="shared" si="4"/>
        <v>4.4000000000000004</v>
      </c>
      <c r="M69" s="5">
        <v>188.63</v>
      </c>
      <c r="N69" s="1">
        <v>44758</v>
      </c>
      <c r="O69" s="6"/>
      <c r="P69" s="7">
        <f t="shared" si="5"/>
        <v>75.329999999999984</v>
      </c>
      <c r="Q69" s="3"/>
    </row>
    <row r="70" spans="1:17">
      <c r="A70" s="1">
        <v>44758</v>
      </c>
      <c r="B70" s="25" t="s">
        <v>182</v>
      </c>
      <c r="C70" s="3" t="s">
        <v>141</v>
      </c>
      <c r="D70" s="4" t="s">
        <v>181</v>
      </c>
      <c r="E70" s="1"/>
      <c r="F70" s="5">
        <v>78</v>
      </c>
      <c r="G70" s="5"/>
      <c r="H70" s="29">
        <f t="shared" si="3"/>
        <v>7.8000000000000007</v>
      </c>
      <c r="I70" s="5"/>
      <c r="J70" s="1">
        <v>44831</v>
      </c>
      <c r="K70" s="5">
        <v>0.2</v>
      </c>
      <c r="L70" s="5">
        <f t="shared" si="4"/>
        <v>2.2000000000000002</v>
      </c>
      <c r="M70" s="5">
        <f>10+3</f>
        <v>13</v>
      </c>
      <c r="N70" s="1">
        <v>44777</v>
      </c>
      <c r="O70" s="6"/>
      <c r="P70" s="7">
        <f t="shared" si="5"/>
        <v>-75</v>
      </c>
      <c r="Q70" s="3"/>
    </row>
    <row r="71" spans="1:17">
      <c r="A71" s="1">
        <v>44757</v>
      </c>
      <c r="B71" s="2" t="s">
        <v>17</v>
      </c>
      <c r="C71" s="3" t="s">
        <v>185</v>
      </c>
      <c r="D71" s="4" t="s">
        <v>177</v>
      </c>
      <c r="E71" s="1"/>
      <c r="F71" s="5">
        <v>14.44</v>
      </c>
      <c r="G71" s="5"/>
      <c r="H71" s="5"/>
      <c r="I71" s="5"/>
      <c r="J71" s="1">
        <v>44785</v>
      </c>
      <c r="K71" s="5">
        <v>0</v>
      </c>
      <c r="L71" s="5">
        <f t="shared" si="4"/>
        <v>0</v>
      </c>
      <c r="M71" s="5"/>
      <c r="N71" s="1"/>
      <c r="O71" s="6"/>
      <c r="P71" s="7">
        <f t="shared" si="5"/>
        <v>-14.44</v>
      </c>
      <c r="Q71" s="3"/>
    </row>
    <row r="72" spans="1:17">
      <c r="A72" s="1">
        <v>44758</v>
      </c>
      <c r="B72" s="25" t="s">
        <v>79</v>
      </c>
      <c r="C72" s="3" t="s">
        <v>109</v>
      </c>
      <c r="D72" s="4" t="s">
        <v>187</v>
      </c>
      <c r="E72" s="1"/>
      <c r="F72" s="5">
        <v>67.5</v>
      </c>
      <c r="G72" s="5"/>
      <c r="H72" s="29">
        <f t="shared" ref="H72:H104" si="6">(F72/100)*10</f>
        <v>6.75</v>
      </c>
      <c r="I72" s="29"/>
      <c r="J72" s="1">
        <v>44776</v>
      </c>
      <c r="K72" s="5">
        <v>1.6</v>
      </c>
      <c r="L72" s="5">
        <f t="shared" si="4"/>
        <v>17.600000000000001</v>
      </c>
      <c r="M72" s="5">
        <v>13.62</v>
      </c>
      <c r="N72" s="1">
        <v>44762</v>
      </c>
      <c r="O72" s="6"/>
      <c r="P72" s="7">
        <f t="shared" si="5"/>
        <v>-78.22999999999999</v>
      </c>
      <c r="Q72" s="3"/>
    </row>
    <row r="73" spans="1:17">
      <c r="A73" s="1">
        <v>44759</v>
      </c>
      <c r="B73" s="25" t="s">
        <v>79</v>
      </c>
      <c r="C73" s="3" t="s">
        <v>39</v>
      </c>
      <c r="D73" s="4" t="s">
        <v>188</v>
      </c>
      <c r="E73" s="1"/>
      <c r="F73" s="5">
        <v>184.1</v>
      </c>
      <c r="G73" s="5"/>
      <c r="H73" s="29">
        <f t="shared" si="6"/>
        <v>18.41</v>
      </c>
      <c r="I73" s="29"/>
      <c r="J73" s="1">
        <v>44776</v>
      </c>
      <c r="K73" s="5">
        <v>0</v>
      </c>
      <c r="L73" s="5">
        <f t="shared" si="4"/>
        <v>0</v>
      </c>
      <c r="M73" s="5">
        <v>80</v>
      </c>
      <c r="N73" s="1">
        <v>44771</v>
      </c>
      <c r="O73" s="6"/>
      <c r="P73" s="7">
        <f t="shared" si="5"/>
        <v>-122.50999999999999</v>
      </c>
      <c r="Q73" s="3"/>
    </row>
    <row r="74" spans="1:17">
      <c r="A74" s="1">
        <v>44759</v>
      </c>
      <c r="B74" s="25" t="s">
        <v>189</v>
      </c>
      <c r="C74" s="3" t="s">
        <v>109</v>
      </c>
      <c r="D74" s="4" t="s">
        <v>190</v>
      </c>
      <c r="E74" s="1"/>
      <c r="F74" s="5">
        <v>80.400000000000006</v>
      </c>
      <c r="G74" s="5"/>
      <c r="H74" s="29">
        <f t="shared" si="6"/>
        <v>8.0400000000000009</v>
      </c>
      <c r="I74" s="29"/>
      <c r="J74" s="1">
        <v>44776</v>
      </c>
      <c r="K74" s="5">
        <v>0</v>
      </c>
      <c r="L74" s="5">
        <f t="shared" si="4"/>
        <v>0</v>
      </c>
      <c r="M74" s="5">
        <v>165</v>
      </c>
      <c r="N74" s="1">
        <v>44830</v>
      </c>
      <c r="O74" s="6"/>
      <c r="P74" s="7">
        <f t="shared" si="5"/>
        <v>76.559999999999988</v>
      </c>
      <c r="Q74" s="3"/>
    </row>
    <row r="75" spans="1:17">
      <c r="A75" s="1">
        <v>44759</v>
      </c>
      <c r="B75" s="32" t="s">
        <v>58</v>
      </c>
      <c r="C75" s="3" t="s">
        <v>18</v>
      </c>
      <c r="D75" s="4" t="s">
        <v>192</v>
      </c>
      <c r="E75" s="1"/>
      <c r="F75" s="5">
        <v>138</v>
      </c>
      <c r="G75" s="5"/>
      <c r="H75" s="29">
        <f t="shared" si="6"/>
        <v>13.799999999999999</v>
      </c>
      <c r="I75" s="5"/>
      <c r="J75" s="1">
        <v>44785</v>
      </c>
      <c r="K75" s="5">
        <v>1.3</v>
      </c>
      <c r="L75" s="5">
        <f t="shared" si="4"/>
        <v>14.3</v>
      </c>
      <c r="M75" s="5">
        <v>175.64</v>
      </c>
      <c r="N75" s="1">
        <v>44824</v>
      </c>
      <c r="O75" s="6"/>
      <c r="P75" s="7">
        <f t="shared" si="5"/>
        <v>9.5399999999999636</v>
      </c>
      <c r="Q75" s="3"/>
    </row>
    <row r="76" spans="1:17">
      <c r="A76" s="1">
        <v>44759</v>
      </c>
      <c r="B76" s="25" t="s">
        <v>108</v>
      </c>
      <c r="C76" s="3" t="s">
        <v>145</v>
      </c>
      <c r="D76" s="4" t="s">
        <v>193</v>
      </c>
      <c r="E76" s="1"/>
      <c r="F76" s="5">
        <v>64.2</v>
      </c>
      <c r="G76" s="5"/>
      <c r="H76" s="29">
        <f t="shared" si="6"/>
        <v>6.42</v>
      </c>
      <c r="I76" s="29"/>
      <c r="J76" s="1">
        <v>44776</v>
      </c>
      <c r="K76" s="5">
        <v>0</v>
      </c>
      <c r="L76" s="5">
        <f t="shared" si="4"/>
        <v>0</v>
      </c>
      <c r="M76" s="5">
        <v>70.61</v>
      </c>
      <c r="N76" s="1">
        <v>44759</v>
      </c>
      <c r="O76" s="6"/>
      <c r="P76" s="7">
        <f t="shared" si="5"/>
        <v>-1.0000000000005116E-2</v>
      </c>
      <c r="Q76" s="3"/>
    </row>
    <row r="77" spans="1:17">
      <c r="A77" s="1">
        <v>44761</v>
      </c>
      <c r="B77" s="25" t="s">
        <v>152</v>
      </c>
      <c r="C77" s="3" t="s">
        <v>195</v>
      </c>
      <c r="D77" s="4" t="s">
        <v>194</v>
      </c>
      <c r="E77" s="1"/>
      <c r="F77" s="5">
        <v>102.47</v>
      </c>
      <c r="G77" s="5"/>
      <c r="H77" s="29">
        <f t="shared" si="6"/>
        <v>10.247</v>
      </c>
      <c r="I77" s="29"/>
      <c r="J77" s="1">
        <v>44776</v>
      </c>
      <c r="K77" s="5">
        <v>1.2</v>
      </c>
      <c r="L77" s="5">
        <f t="shared" si="4"/>
        <v>13.2</v>
      </c>
      <c r="M77" s="5">
        <f>112+14</f>
        <v>126</v>
      </c>
      <c r="N77" s="1">
        <v>44764</v>
      </c>
      <c r="O77" s="6"/>
      <c r="P77" s="7">
        <f t="shared" si="5"/>
        <v>8.2999999999998408E-2</v>
      </c>
      <c r="Q77" s="3"/>
    </row>
    <row r="78" spans="1:17">
      <c r="A78" s="1">
        <v>44761</v>
      </c>
      <c r="B78" s="25" t="s">
        <v>197</v>
      </c>
      <c r="C78" s="3" t="s">
        <v>126</v>
      </c>
      <c r="D78" s="4" t="s">
        <v>196</v>
      </c>
      <c r="E78" s="1"/>
      <c r="F78" s="5">
        <v>100.42</v>
      </c>
      <c r="G78" s="5"/>
      <c r="H78" s="29">
        <f t="shared" si="6"/>
        <v>10.042</v>
      </c>
      <c r="I78" s="5"/>
      <c r="J78" s="1">
        <v>44785</v>
      </c>
      <c r="K78" s="5">
        <v>1.4</v>
      </c>
      <c r="L78" s="5">
        <f t="shared" si="4"/>
        <v>15.399999999999999</v>
      </c>
      <c r="M78" s="5">
        <f>110.46+15.4</f>
        <v>125.86</v>
      </c>
      <c r="N78" s="1">
        <v>44763</v>
      </c>
      <c r="O78" s="6"/>
      <c r="P78" s="7">
        <f t="shared" si="5"/>
        <v>-1.9999999999953388E-3</v>
      </c>
      <c r="Q78" s="3"/>
    </row>
    <row r="79" spans="1:17">
      <c r="A79" s="1">
        <v>44761</v>
      </c>
      <c r="B79" s="25" t="s">
        <v>200</v>
      </c>
      <c r="C79" s="3" t="s">
        <v>199</v>
      </c>
      <c r="D79" s="4" t="s">
        <v>198</v>
      </c>
      <c r="E79" s="1"/>
      <c r="F79" s="5">
        <v>33.9</v>
      </c>
      <c r="G79" s="5"/>
      <c r="H79" s="29">
        <f t="shared" si="6"/>
        <v>3.3899999999999997</v>
      </c>
      <c r="I79" s="5"/>
      <c r="J79" s="1">
        <v>44792</v>
      </c>
      <c r="K79" s="5">
        <v>0.25</v>
      </c>
      <c r="L79" s="5">
        <f t="shared" si="4"/>
        <v>2.75</v>
      </c>
      <c r="M79" s="5">
        <f>37.29+2.75</f>
        <v>40.04</v>
      </c>
      <c r="N79" s="1">
        <v>44763</v>
      </c>
      <c r="O79" s="6"/>
      <c r="P79" s="7">
        <f t="shared" si="5"/>
        <v>0</v>
      </c>
      <c r="Q79" s="3"/>
    </row>
    <row r="80" spans="1:17" ht="15" customHeight="1">
      <c r="A80" s="1">
        <v>44763</v>
      </c>
      <c r="B80" s="25" t="s">
        <v>105</v>
      </c>
      <c r="C80" s="3" t="s">
        <v>104</v>
      </c>
      <c r="D80" s="4" t="s">
        <v>201</v>
      </c>
      <c r="E80" s="1"/>
      <c r="F80" s="5">
        <v>746</v>
      </c>
      <c r="G80" s="5"/>
      <c r="H80" s="29">
        <f t="shared" si="6"/>
        <v>74.599999999999994</v>
      </c>
      <c r="I80" s="29"/>
      <c r="J80" s="1">
        <v>44776</v>
      </c>
      <c r="K80" s="5">
        <v>3.5</v>
      </c>
      <c r="L80" s="5">
        <f t="shared" si="4"/>
        <v>38.5</v>
      </c>
      <c r="M80" s="5">
        <v>850</v>
      </c>
      <c r="N80" s="1">
        <v>44764</v>
      </c>
      <c r="O80" s="6"/>
      <c r="P80" s="7">
        <f t="shared" si="5"/>
        <v>-9.1000000000000227</v>
      </c>
      <c r="Q80" s="3"/>
    </row>
    <row r="81" spans="1:17">
      <c r="A81" s="1">
        <v>44763</v>
      </c>
      <c r="B81" s="2" t="s">
        <v>203</v>
      </c>
      <c r="C81" s="3" t="s">
        <v>18</v>
      </c>
      <c r="D81" s="4" t="s">
        <v>202</v>
      </c>
      <c r="E81" s="1"/>
      <c r="F81" s="5">
        <v>169</v>
      </c>
      <c r="G81" s="5"/>
      <c r="H81" s="29">
        <f t="shared" si="6"/>
        <v>16.899999999999999</v>
      </c>
      <c r="I81" s="29"/>
      <c r="J81" s="1">
        <v>44776</v>
      </c>
      <c r="K81" s="5">
        <v>2.8</v>
      </c>
      <c r="L81" s="5">
        <f t="shared" si="4"/>
        <v>30.799999999999997</v>
      </c>
      <c r="M81" s="5">
        <v>300</v>
      </c>
      <c r="N81" s="1">
        <v>44806</v>
      </c>
      <c r="O81" s="6"/>
      <c r="P81" s="7">
        <f t="shared" si="5"/>
        <v>83.300000000000011</v>
      </c>
      <c r="Q81" s="3" t="s">
        <v>167</v>
      </c>
    </row>
    <row r="82" spans="1:17">
      <c r="A82" s="1">
        <v>44763</v>
      </c>
      <c r="B82" s="2" t="s">
        <v>203</v>
      </c>
      <c r="C82" s="3" t="s">
        <v>18</v>
      </c>
      <c r="D82" s="4" t="s">
        <v>202</v>
      </c>
      <c r="E82" s="1"/>
      <c r="F82" s="5"/>
      <c r="G82" s="5"/>
      <c r="H82" s="29">
        <f t="shared" ref="H82" si="7">(F82/100)*10</f>
        <v>0</v>
      </c>
      <c r="I82" s="29"/>
      <c r="J82" s="1">
        <v>44826</v>
      </c>
      <c r="K82" s="5">
        <v>0.3</v>
      </c>
      <c r="L82" s="5">
        <f t="shared" ref="L82" si="8">K82*11</f>
        <v>3.3</v>
      </c>
      <c r="M82" s="5"/>
      <c r="N82" s="1"/>
      <c r="O82" s="6"/>
      <c r="P82" s="7">
        <f t="shared" ref="P82" si="9">M82-(F82+G82+H82+L82)</f>
        <v>-3.3</v>
      </c>
      <c r="Q82" s="3">
        <v>1</v>
      </c>
    </row>
    <row r="83" spans="1:17">
      <c r="A83" s="1">
        <v>44763</v>
      </c>
      <c r="B83" s="25" t="s">
        <v>206</v>
      </c>
      <c r="C83" s="3" t="s">
        <v>18</v>
      </c>
      <c r="D83" s="4" t="s">
        <v>205</v>
      </c>
      <c r="E83" s="1"/>
      <c r="F83" s="5">
        <v>248</v>
      </c>
      <c r="G83" s="5"/>
      <c r="H83" s="29">
        <f t="shared" si="6"/>
        <v>24.8</v>
      </c>
      <c r="I83" s="5"/>
      <c r="J83" s="1">
        <v>44785</v>
      </c>
      <c r="K83" s="5">
        <v>0</v>
      </c>
      <c r="L83" s="5">
        <f t="shared" si="4"/>
        <v>0</v>
      </c>
      <c r="M83" s="5">
        <v>275</v>
      </c>
      <c r="N83" s="1">
        <v>44783</v>
      </c>
      <c r="O83" s="6"/>
      <c r="P83" s="7">
        <f t="shared" si="5"/>
        <v>2.1999999999999886</v>
      </c>
      <c r="Q83" s="3"/>
    </row>
    <row r="84" spans="1:17" ht="15" customHeight="1">
      <c r="A84" s="1">
        <v>44765</v>
      </c>
      <c r="B84" s="25" t="s">
        <v>211</v>
      </c>
      <c r="C84" s="3" t="s">
        <v>18</v>
      </c>
      <c r="D84" s="4" t="s">
        <v>210</v>
      </c>
      <c r="E84" s="1"/>
      <c r="F84" s="5">
        <v>398</v>
      </c>
      <c r="G84" s="5"/>
      <c r="H84" s="29">
        <f t="shared" si="6"/>
        <v>39.799999999999997</v>
      </c>
      <c r="I84" s="29"/>
      <c r="J84" s="1">
        <v>44776</v>
      </c>
      <c r="K84" s="5">
        <v>0</v>
      </c>
      <c r="L84" s="5">
        <f t="shared" si="4"/>
        <v>0</v>
      </c>
      <c r="M84" s="5">
        <v>813</v>
      </c>
      <c r="N84" s="1">
        <v>44783</v>
      </c>
      <c r="O84" s="6"/>
      <c r="P84" s="7">
        <f t="shared" si="5"/>
        <v>375.2</v>
      </c>
      <c r="Q84" s="3"/>
    </row>
    <row r="85" spans="1:17">
      <c r="A85" s="1">
        <v>44765</v>
      </c>
      <c r="B85" s="25" t="s">
        <v>213</v>
      </c>
      <c r="C85" s="3" t="s">
        <v>158</v>
      </c>
      <c r="D85" s="4" t="s">
        <v>212</v>
      </c>
      <c r="E85" s="1"/>
      <c r="F85" s="5">
        <v>91</v>
      </c>
      <c r="G85" s="5"/>
      <c r="H85" s="29">
        <f t="shared" si="6"/>
        <v>9.1</v>
      </c>
      <c r="I85" s="5"/>
      <c r="J85" s="1">
        <v>44785</v>
      </c>
      <c r="K85" s="5">
        <v>0</v>
      </c>
      <c r="L85" s="5">
        <f t="shared" si="4"/>
        <v>0</v>
      </c>
      <c r="M85" s="5">
        <f>100+27.62</f>
        <v>127.62</v>
      </c>
      <c r="N85" s="1">
        <v>44765</v>
      </c>
      <c r="O85" s="6"/>
      <c r="P85" s="7">
        <f t="shared" si="5"/>
        <v>27.52000000000001</v>
      </c>
      <c r="Q85" s="3"/>
    </row>
    <row r="86" spans="1:17" ht="15" customHeight="1">
      <c r="A86" s="1">
        <v>44765</v>
      </c>
      <c r="B86" s="25" t="s">
        <v>70</v>
      </c>
      <c r="C86" s="3" t="s">
        <v>28</v>
      </c>
      <c r="D86" s="4" t="s">
        <v>214</v>
      </c>
      <c r="E86" s="1"/>
      <c r="F86" s="5">
        <v>17.7</v>
      </c>
      <c r="G86" s="5"/>
      <c r="H86" s="29">
        <f t="shared" si="6"/>
        <v>1.77</v>
      </c>
      <c r="I86" s="29"/>
      <c r="J86" s="1">
        <v>44776</v>
      </c>
      <c r="K86" s="5">
        <v>1.4</v>
      </c>
      <c r="L86" s="5">
        <f t="shared" si="4"/>
        <v>15.399999999999999</v>
      </c>
      <c r="M86" s="5">
        <v>-10</v>
      </c>
      <c r="N86" s="1">
        <v>44785</v>
      </c>
      <c r="O86" s="6"/>
      <c r="P86" s="7">
        <f t="shared" si="5"/>
        <v>-44.87</v>
      </c>
      <c r="Q86" s="3"/>
    </row>
    <row r="87" spans="1:17" ht="15" customHeight="1">
      <c r="A87" s="1">
        <v>44765</v>
      </c>
      <c r="B87" s="25" t="s">
        <v>215</v>
      </c>
      <c r="C87" s="3" t="s">
        <v>28</v>
      </c>
      <c r="D87" s="4" t="s">
        <v>216</v>
      </c>
      <c r="E87" s="1"/>
      <c r="F87" s="5">
        <v>55</v>
      </c>
      <c r="G87" s="5"/>
      <c r="H87" s="29">
        <f t="shared" si="6"/>
        <v>5.5</v>
      </c>
      <c r="I87" s="5"/>
      <c r="J87" s="1">
        <v>44785</v>
      </c>
      <c r="K87" s="5">
        <v>3.6</v>
      </c>
      <c r="L87" s="5">
        <f t="shared" si="4"/>
        <v>39.6</v>
      </c>
      <c r="M87" s="5">
        <v>2300</v>
      </c>
      <c r="N87" s="1">
        <v>44785</v>
      </c>
      <c r="O87" s="6"/>
      <c r="P87" s="7">
        <f t="shared" si="5"/>
        <v>2199.9</v>
      </c>
      <c r="Q87" s="3"/>
    </row>
    <row r="88" spans="1:17">
      <c r="A88" s="1">
        <v>44765</v>
      </c>
      <c r="B88" s="25" t="s">
        <v>218</v>
      </c>
      <c r="C88" s="3" t="s">
        <v>28</v>
      </c>
      <c r="D88" s="4" t="s">
        <v>217</v>
      </c>
      <c r="E88" s="1"/>
      <c r="F88" s="5">
        <v>80.180000000000007</v>
      </c>
      <c r="G88" s="5"/>
      <c r="H88" s="29">
        <f t="shared" si="6"/>
        <v>8.0180000000000007</v>
      </c>
      <c r="I88" s="5"/>
      <c r="J88" s="1">
        <v>44790</v>
      </c>
      <c r="K88" s="5">
        <v>1.35</v>
      </c>
      <c r="L88" s="5">
        <f t="shared" si="4"/>
        <v>14.850000000000001</v>
      </c>
      <c r="M88" s="5">
        <v>2200</v>
      </c>
      <c r="N88" s="1">
        <v>44789</v>
      </c>
      <c r="O88" s="6"/>
      <c r="P88" s="7">
        <f t="shared" si="5"/>
        <v>2096.9520000000002</v>
      </c>
      <c r="Q88" s="3"/>
    </row>
    <row r="89" spans="1:17" ht="15" customHeight="1">
      <c r="A89" s="1">
        <v>44765</v>
      </c>
      <c r="B89" s="2" t="s">
        <v>220</v>
      </c>
      <c r="C89" s="3" t="s">
        <v>28</v>
      </c>
      <c r="D89" s="4" t="s">
        <v>219</v>
      </c>
      <c r="E89" s="1"/>
      <c r="F89" s="5">
        <v>450</v>
      </c>
      <c r="G89" s="5"/>
      <c r="H89" s="29">
        <f t="shared" si="6"/>
        <v>45</v>
      </c>
      <c r="I89" s="5"/>
      <c r="J89" s="1">
        <v>44785</v>
      </c>
      <c r="K89" s="5">
        <v>0</v>
      </c>
      <c r="L89" s="5">
        <f t="shared" si="4"/>
        <v>0</v>
      </c>
      <c r="M89" s="5">
        <v>3600</v>
      </c>
      <c r="N89" s="1">
        <v>44792</v>
      </c>
      <c r="O89" s="6"/>
      <c r="P89" s="7">
        <f t="shared" si="5"/>
        <v>3105</v>
      </c>
      <c r="Q89" s="3"/>
    </row>
    <row r="90" spans="1:17">
      <c r="A90" s="1">
        <v>44765</v>
      </c>
      <c r="B90" s="25" t="s">
        <v>222</v>
      </c>
      <c r="C90" s="3" t="s">
        <v>28</v>
      </c>
      <c r="D90" s="4" t="s">
        <v>221</v>
      </c>
      <c r="E90" s="1"/>
      <c r="F90" s="5">
        <v>57.8</v>
      </c>
      <c r="G90" s="5"/>
      <c r="H90" s="29">
        <f t="shared" si="6"/>
        <v>5.7799999999999994</v>
      </c>
      <c r="I90" s="29"/>
      <c r="J90" s="1">
        <v>44776</v>
      </c>
      <c r="K90" s="5">
        <v>0</v>
      </c>
      <c r="L90" s="5">
        <f t="shared" si="4"/>
        <v>0</v>
      </c>
      <c r="M90" s="5">
        <v>2100</v>
      </c>
      <c r="N90" s="1">
        <v>44795</v>
      </c>
      <c r="O90" s="6"/>
      <c r="P90" s="7">
        <f t="shared" si="5"/>
        <v>2036.42</v>
      </c>
      <c r="Q90" s="3"/>
    </row>
    <row r="91" spans="1:17">
      <c r="A91" s="1">
        <v>44766</v>
      </c>
      <c r="B91" s="25" t="s">
        <v>99</v>
      </c>
      <c r="C91" s="3" t="s">
        <v>89</v>
      </c>
      <c r="D91" s="4" t="s">
        <v>223</v>
      </c>
      <c r="E91" s="1"/>
      <c r="F91" s="5">
        <v>230</v>
      </c>
      <c r="G91" s="5"/>
      <c r="H91" s="29">
        <f t="shared" si="6"/>
        <v>23</v>
      </c>
      <c r="I91" s="29"/>
      <c r="J91" s="1">
        <v>44776</v>
      </c>
      <c r="K91" s="5">
        <v>0.7</v>
      </c>
      <c r="L91" s="5">
        <f t="shared" si="4"/>
        <v>7.6999999999999993</v>
      </c>
      <c r="M91" s="5">
        <v>474</v>
      </c>
      <c r="N91" s="1">
        <v>44800</v>
      </c>
      <c r="O91" s="6"/>
      <c r="P91" s="7">
        <f t="shared" si="5"/>
        <v>213.3</v>
      </c>
      <c r="Q91" s="3"/>
    </row>
    <row r="92" spans="1:17">
      <c r="A92" s="1">
        <v>44766</v>
      </c>
      <c r="B92" s="25" t="s">
        <v>108</v>
      </c>
      <c r="C92" s="3" t="s">
        <v>145</v>
      </c>
      <c r="D92" s="4" t="s">
        <v>224</v>
      </c>
      <c r="E92" s="1"/>
      <c r="F92" s="5">
        <v>57.65</v>
      </c>
      <c r="G92" s="5"/>
      <c r="H92" s="29">
        <f t="shared" si="6"/>
        <v>5.7650000000000006</v>
      </c>
      <c r="I92" s="5"/>
      <c r="J92" s="1">
        <v>44785</v>
      </c>
      <c r="K92" s="5">
        <v>0.75</v>
      </c>
      <c r="L92" s="5">
        <f t="shared" si="4"/>
        <v>8.25</v>
      </c>
      <c r="M92" s="5">
        <f>63.4+34.89+8.25</f>
        <v>106.53999999999999</v>
      </c>
      <c r="N92" s="1">
        <v>44766</v>
      </c>
      <c r="O92" s="6"/>
      <c r="P92" s="7">
        <f t="shared" si="5"/>
        <v>34.875</v>
      </c>
      <c r="Q92" s="3"/>
    </row>
    <row r="93" spans="1:17" ht="15" customHeight="1">
      <c r="A93" s="1">
        <v>44767</v>
      </c>
      <c r="B93" s="25" t="s">
        <v>227</v>
      </c>
      <c r="C93" s="3" t="s">
        <v>226</v>
      </c>
      <c r="D93" s="4" t="s">
        <v>225</v>
      </c>
      <c r="E93" s="1"/>
      <c r="F93" s="5">
        <v>67.97</v>
      </c>
      <c r="G93" s="5"/>
      <c r="H93" s="29">
        <f t="shared" si="6"/>
        <v>6.7969999999999997</v>
      </c>
      <c r="I93" s="5"/>
      <c r="J93" s="1">
        <v>44785</v>
      </c>
      <c r="K93" s="5">
        <v>1</v>
      </c>
      <c r="L93" s="5">
        <f t="shared" si="4"/>
        <v>11</v>
      </c>
      <c r="M93" s="5">
        <f>72+13.77</f>
        <v>85.77</v>
      </c>
      <c r="N93" s="1">
        <v>44777</v>
      </c>
      <c r="O93" s="6"/>
      <c r="P93" s="7">
        <f t="shared" si="5"/>
        <v>3.0000000000001137E-3</v>
      </c>
      <c r="Q93" s="3"/>
    </row>
    <row r="94" spans="1:17">
      <c r="A94" s="1">
        <v>44767</v>
      </c>
      <c r="B94" s="25" t="s">
        <v>229</v>
      </c>
      <c r="C94" s="3" t="s">
        <v>39</v>
      </c>
      <c r="D94" s="4" t="s">
        <v>228</v>
      </c>
      <c r="E94" s="1"/>
      <c r="F94" s="5">
        <v>45.11</v>
      </c>
      <c r="G94" s="5"/>
      <c r="H94" s="29">
        <f t="shared" si="6"/>
        <v>4.5110000000000001</v>
      </c>
      <c r="I94" s="5"/>
      <c r="J94" s="1">
        <v>44792</v>
      </c>
      <c r="K94" s="5">
        <v>3.7</v>
      </c>
      <c r="L94" s="5">
        <f t="shared" si="4"/>
        <v>40.700000000000003</v>
      </c>
      <c r="M94" s="5">
        <v>300</v>
      </c>
      <c r="N94" s="1">
        <v>44777</v>
      </c>
      <c r="O94" s="6"/>
      <c r="P94" s="7">
        <f t="shared" si="5"/>
        <v>209.679</v>
      </c>
      <c r="Q94" s="3"/>
    </row>
    <row r="95" spans="1:17">
      <c r="A95" s="1">
        <v>44767</v>
      </c>
      <c r="B95" s="25" t="s">
        <v>231</v>
      </c>
      <c r="C95" s="3" t="s">
        <v>232</v>
      </c>
      <c r="D95" s="4" t="s">
        <v>230</v>
      </c>
      <c r="E95" s="1"/>
      <c r="F95" s="5">
        <v>153</v>
      </c>
      <c r="G95" s="5"/>
      <c r="H95" s="29">
        <f t="shared" si="6"/>
        <v>15.3</v>
      </c>
      <c r="I95" s="5"/>
      <c r="J95" s="1">
        <v>44785</v>
      </c>
      <c r="K95" s="5">
        <v>0.8</v>
      </c>
      <c r="L95" s="5">
        <f t="shared" si="4"/>
        <v>8.8000000000000007</v>
      </c>
      <c r="M95" s="5">
        <f>100+80</f>
        <v>180</v>
      </c>
      <c r="N95" s="1">
        <v>44770</v>
      </c>
      <c r="O95" s="6"/>
      <c r="P95" s="7">
        <f t="shared" si="5"/>
        <v>2.8999999999999773</v>
      </c>
      <c r="Q95" s="3"/>
    </row>
    <row r="96" spans="1:17" ht="15" customHeight="1">
      <c r="A96" s="1">
        <v>44768</v>
      </c>
      <c r="B96" s="25" t="s">
        <v>60</v>
      </c>
      <c r="C96" s="3" t="s">
        <v>64</v>
      </c>
      <c r="D96" s="4" t="s">
        <v>233</v>
      </c>
      <c r="E96" s="1"/>
      <c r="F96" s="5">
        <v>80</v>
      </c>
      <c r="G96" s="5"/>
      <c r="H96" s="29">
        <f t="shared" si="6"/>
        <v>8</v>
      </c>
      <c r="I96" s="5"/>
      <c r="J96" s="1">
        <v>44785</v>
      </c>
      <c r="K96" s="5">
        <v>0</v>
      </c>
      <c r="L96" s="5">
        <f t="shared" si="4"/>
        <v>0</v>
      </c>
      <c r="M96" s="5">
        <v>300</v>
      </c>
      <c r="N96" s="1">
        <v>44775</v>
      </c>
      <c r="O96" s="6"/>
      <c r="P96" s="7">
        <f t="shared" si="5"/>
        <v>212</v>
      </c>
      <c r="Q96" s="3"/>
    </row>
    <row r="97" spans="1:17">
      <c r="A97" s="1">
        <v>44768</v>
      </c>
      <c r="B97" s="25" t="s">
        <v>235</v>
      </c>
      <c r="C97" s="3" t="s">
        <v>64</v>
      </c>
      <c r="D97" s="4" t="s">
        <v>234</v>
      </c>
      <c r="E97" s="1"/>
      <c r="F97" s="5">
        <v>112.13</v>
      </c>
      <c r="G97" s="5"/>
      <c r="H97" s="29">
        <f t="shared" si="6"/>
        <v>11.212999999999999</v>
      </c>
      <c r="I97" s="5"/>
      <c r="J97" s="1">
        <v>44792</v>
      </c>
      <c r="K97" s="5">
        <v>0</v>
      </c>
      <c r="L97" s="5">
        <f t="shared" si="4"/>
        <v>0</v>
      </c>
      <c r="M97" s="5">
        <v>500</v>
      </c>
      <c r="N97" s="1">
        <v>44813</v>
      </c>
      <c r="O97" s="6"/>
      <c r="P97" s="7">
        <f t="shared" si="5"/>
        <v>376.65700000000004</v>
      </c>
      <c r="Q97" s="3"/>
    </row>
    <row r="98" spans="1:17">
      <c r="A98" s="1">
        <v>44768</v>
      </c>
      <c r="B98" s="25" t="s">
        <v>96</v>
      </c>
      <c r="C98" s="3" t="s">
        <v>153</v>
      </c>
      <c r="D98" s="4" t="s">
        <v>236</v>
      </c>
      <c r="E98" s="1"/>
      <c r="F98" s="5">
        <v>83.96</v>
      </c>
      <c r="G98" s="5"/>
      <c r="H98" s="29">
        <f t="shared" si="6"/>
        <v>8.395999999999999</v>
      </c>
      <c r="I98" s="5"/>
      <c r="J98" s="1">
        <v>44785</v>
      </c>
      <c r="K98" s="5">
        <v>0.15</v>
      </c>
      <c r="L98" s="5">
        <f t="shared" si="4"/>
        <v>1.65</v>
      </c>
      <c r="M98" s="5">
        <v>30</v>
      </c>
      <c r="N98" s="1">
        <v>44777</v>
      </c>
      <c r="O98" s="6"/>
      <c r="P98" s="7">
        <f t="shared" si="5"/>
        <v>-64.006</v>
      </c>
      <c r="Q98" s="3" t="s">
        <v>170</v>
      </c>
    </row>
    <row r="99" spans="1:17">
      <c r="A99" s="1">
        <v>44768</v>
      </c>
      <c r="B99" s="25" t="s">
        <v>96</v>
      </c>
      <c r="C99" s="3" t="s">
        <v>153</v>
      </c>
      <c r="D99" s="4" t="s">
        <v>236</v>
      </c>
      <c r="E99" s="1"/>
      <c r="F99" s="5"/>
      <c r="G99" s="5"/>
      <c r="H99" s="29">
        <f t="shared" si="6"/>
        <v>0</v>
      </c>
      <c r="I99" s="5"/>
      <c r="J99" s="1">
        <v>44792</v>
      </c>
      <c r="K99" s="5">
        <v>0.7</v>
      </c>
      <c r="L99" s="5">
        <f t="shared" si="4"/>
        <v>7.6999999999999993</v>
      </c>
      <c r="M99" s="5">
        <v>70</v>
      </c>
      <c r="N99" s="1">
        <v>44793</v>
      </c>
      <c r="O99" s="6"/>
      <c r="P99" s="7">
        <f t="shared" si="5"/>
        <v>62.3</v>
      </c>
      <c r="Q99" s="3">
        <v>3</v>
      </c>
    </row>
    <row r="100" spans="1:17">
      <c r="A100" s="1">
        <v>44768</v>
      </c>
      <c r="B100" s="25" t="s">
        <v>99</v>
      </c>
      <c r="C100" s="3" t="s">
        <v>104</v>
      </c>
      <c r="D100" s="4" t="s">
        <v>237</v>
      </c>
      <c r="E100" s="1"/>
      <c r="F100" s="5">
        <v>302.39999999999998</v>
      </c>
      <c r="G100" s="5"/>
      <c r="H100" s="29">
        <f t="shared" si="6"/>
        <v>30.239999999999995</v>
      </c>
      <c r="I100" s="5"/>
      <c r="J100" s="1">
        <v>44785</v>
      </c>
      <c r="K100" s="5">
        <v>1.1000000000000001</v>
      </c>
      <c r="L100" s="5">
        <f t="shared" si="4"/>
        <v>12.100000000000001</v>
      </c>
      <c r="M100" s="5">
        <f>350+200+100</f>
        <v>650</v>
      </c>
      <c r="N100" s="1">
        <v>44772</v>
      </c>
      <c r="O100" s="6"/>
      <c r="P100" s="7">
        <f t="shared" si="5"/>
        <v>305.26</v>
      </c>
      <c r="Q100" s="3"/>
    </row>
    <row r="101" spans="1:17">
      <c r="A101" s="1">
        <v>44769</v>
      </c>
      <c r="B101" s="25" t="s">
        <v>91</v>
      </c>
      <c r="C101" s="3" t="s">
        <v>89</v>
      </c>
      <c r="D101" s="4" t="s">
        <v>241</v>
      </c>
      <c r="E101" s="1"/>
      <c r="F101" s="5">
        <v>164.28</v>
      </c>
      <c r="G101" s="5"/>
      <c r="H101" s="29">
        <f t="shared" si="6"/>
        <v>16.428000000000001</v>
      </c>
      <c r="I101" s="5"/>
      <c r="J101" s="1">
        <v>44792</v>
      </c>
      <c r="K101" s="5">
        <v>3.85</v>
      </c>
      <c r="L101" s="5">
        <f t="shared" si="4"/>
        <v>42.35</v>
      </c>
      <c r="M101" s="5">
        <v>197.53</v>
      </c>
      <c r="N101" s="1">
        <v>44801</v>
      </c>
      <c r="O101" s="6"/>
      <c r="P101" s="7">
        <f t="shared" si="5"/>
        <v>-25.527999999999992</v>
      </c>
      <c r="Q101" s="3"/>
    </row>
    <row r="102" spans="1:17">
      <c r="A102" s="1">
        <v>44773</v>
      </c>
      <c r="B102" s="25" t="s">
        <v>63</v>
      </c>
      <c r="C102" s="3" t="s">
        <v>64</v>
      </c>
      <c r="D102" s="4" t="s">
        <v>243</v>
      </c>
      <c r="E102" s="1"/>
      <c r="F102" s="5">
        <v>60.52</v>
      </c>
      <c r="G102" s="5"/>
      <c r="H102" s="29">
        <f t="shared" si="6"/>
        <v>6.0520000000000005</v>
      </c>
      <c r="I102" s="5"/>
      <c r="J102" s="1">
        <v>44792</v>
      </c>
      <c r="K102" s="5">
        <v>5.2</v>
      </c>
      <c r="L102" s="5">
        <f t="shared" si="4"/>
        <v>57.2</v>
      </c>
      <c r="M102" s="5">
        <v>100</v>
      </c>
      <c r="N102" s="1">
        <v>44824</v>
      </c>
      <c r="O102" s="6"/>
      <c r="P102" s="7">
        <f t="shared" si="5"/>
        <v>-23.772000000000006</v>
      </c>
      <c r="Q102" s="3"/>
    </row>
    <row r="103" spans="1:17" ht="15" customHeight="1">
      <c r="A103" s="1">
        <v>44773</v>
      </c>
      <c r="B103" s="25" t="s">
        <v>246</v>
      </c>
      <c r="C103" s="3" t="s">
        <v>248</v>
      </c>
      <c r="D103" s="4" t="s">
        <v>247</v>
      </c>
      <c r="E103" s="1"/>
      <c r="F103" s="5">
        <v>41.19</v>
      </c>
      <c r="G103" s="5"/>
      <c r="H103" s="29">
        <f t="shared" si="6"/>
        <v>4.1189999999999998</v>
      </c>
      <c r="I103" s="5"/>
      <c r="J103" s="1">
        <v>44792</v>
      </c>
      <c r="K103" s="5">
        <v>0.75</v>
      </c>
      <c r="L103" s="5">
        <f t="shared" si="4"/>
        <v>8.25</v>
      </c>
      <c r="M103" s="5">
        <f>45.3+10</f>
        <v>55.3</v>
      </c>
      <c r="N103" s="1">
        <v>44774</v>
      </c>
      <c r="O103" s="6"/>
      <c r="P103" s="7">
        <f t="shared" si="5"/>
        <v>1.7409999999999997</v>
      </c>
      <c r="Q103" s="3"/>
    </row>
    <row r="104" spans="1:17">
      <c r="A104" s="1">
        <v>44774</v>
      </c>
      <c r="B104" s="25" t="s">
        <v>91</v>
      </c>
      <c r="C104" s="3" t="s">
        <v>28</v>
      </c>
      <c r="D104" s="4" t="s">
        <v>249</v>
      </c>
      <c r="E104" s="1"/>
      <c r="F104" s="5">
        <v>66.28</v>
      </c>
      <c r="G104" s="5"/>
      <c r="H104" s="29">
        <f t="shared" si="6"/>
        <v>6.6280000000000001</v>
      </c>
      <c r="I104" s="5"/>
      <c r="J104" s="1">
        <v>44792</v>
      </c>
      <c r="K104" s="5">
        <v>1.2</v>
      </c>
      <c r="L104" s="5">
        <f t="shared" si="4"/>
        <v>13.2</v>
      </c>
      <c r="M104" s="5">
        <v>1700</v>
      </c>
      <c r="N104" s="1">
        <v>44796</v>
      </c>
      <c r="O104" s="6"/>
      <c r="P104" s="7">
        <f t="shared" si="5"/>
        <v>1613.8920000000001</v>
      </c>
      <c r="Q104" s="3"/>
    </row>
    <row r="105" spans="1:17" ht="15" customHeight="1">
      <c r="A105" s="1">
        <v>44774</v>
      </c>
      <c r="B105" s="25" t="s">
        <v>250</v>
      </c>
      <c r="C105" s="3" t="s">
        <v>28</v>
      </c>
      <c r="D105" s="4" t="s">
        <v>255</v>
      </c>
      <c r="E105" s="1"/>
      <c r="F105" s="5">
        <v>448</v>
      </c>
      <c r="G105" s="5"/>
      <c r="H105" s="29">
        <f t="shared" ref="H105:H136" si="10">(F105/100)*10</f>
        <v>44.800000000000004</v>
      </c>
      <c r="I105" s="5">
        <v>44.8</v>
      </c>
      <c r="J105" s="1">
        <v>44785</v>
      </c>
      <c r="K105" s="5">
        <v>0</v>
      </c>
      <c r="L105" s="5">
        <f t="shared" si="4"/>
        <v>0</v>
      </c>
      <c r="M105" s="5">
        <v>1400</v>
      </c>
      <c r="N105" s="1">
        <v>44796</v>
      </c>
      <c r="O105" s="6"/>
      <c r="P105" s="7">
        <f t="shared" si="5"/>
        <v>907.2</v>
      </c>
      <c r="Q105" s="3"/>
    </row>
    <row r="106" spans="1:17">
      <c r="A106" s="1">
        <v>44774</v>
      </c>
      <c r="B106" s="25" t="s">
        <v>251</v>
      </c>
      <c r="C106" s="3" t="s">
        <v>28</v>
      </c>
      <c r="D106" s="4" t="s">
        <v>252</v>
      </c>
      <c r="E106" s="1"/>
      <c r="F106" s="5">
        <v>50.25</v>
      </c>
      <c r="G106" s="5"/>
      <c r="H106" s="29">
        <f t="shared" si="10"/>
        <v>5.0249999999999995</v>
      </c>
      <c r="I106" s="5"/>
      <c r="J106" s="1">
        <v>44792</v>
      </c>
      <c r="K106" s="5">
        <v>0</v>
      </c>
      <c r="L106" s="5">
        <f t="shared" si="4"/>
        <v>0</v>
      </c>
      <c r="M106" s="5">
        <v>1000</v>
      </c>
      <c r="N106" s="1">
        <v>44799</v>
      </c>
      <c r="O106" s="6"/>
      <c r="P106" s="7">
        <f t="shared" si="5"/>
        <v>944.72500000000002</v>
      </c>
      <c r="Q106" s="3"/>
    </row>
    <row r="107" spans="1:17" ht="15" customHeight="1">
      <c r="A107" s="1">
        <v>44774</v>
      </c>
      <c r="B107" s="25" t="s">
        <v>60</v>
      </c>
      <c r="C107" s="3" t="s">
        <v>39</v>
      </c>
      <c r="D107" s="4" t="s">
        <v>253</v>
      </c>
      <c r="E107" s="1"/>
      <c r="F107" s="5">
        <v>226.45</v>
      </c>
      <c r="G107" s="5"/>
      <c r="H107" s="29">
        <f t="shared" si="10"/>
        <v>22.645</v>
      </c>
      <c r="I107" s="5"/>
      <c r="J107" s="1">
        <v>44792</v>
      </c>
      <c r="K107" s="5">
        <v>0</v>
      </c>
      <c r="L107" s="5">
        <f t="shared" si="4"/>
        <v>0</v>
      </c>
      <c r="M107" s="5">
        <v>17.37</v>
      </c>
      <c r="N107" s="1">
        <v>44793</v>
      </c>
      <c r="O107" s="6"/>
      <c r="P107" s="7">
        <f t="shared" si="5"/>
        <v>-231.72499999999999</v>
      </c>
      <c r="Q107" s="3"/>
    </row>
    <row r="108" spans="1:17" ht="15" customHeight="1">
      <c r="A108" s="1">
        <v>44775</v>
      </c>
      <c r="B108" s="25" t="s">
        <v>41</v>
      </c>
      <c r="C108" s="3" t="s">
        <v>132</v>
      </c>
      <c r="D108" s="4" t="s">
        <v>256</v>
      </c>
      <c r="E108" s="1"/>
      <c r="F108" s="5">
        <v>65.55</v>
      </c>
      <c r="G108" s="5"/>
      <c r="H108" s="29">
        <f t="shared" si="10"/>
        <v>6.5549999999999997</v>
      </c>
      <c r="I108" s="5"/>
      <c r="J108" s="1">
        <v>44792</v>
      </c>
      <c r="K108" s="5">
        <v>18.100000000000001</v>
      </c>
      <c r="L108" s="5">
        <f t="shared" si="4"/>
        <v>199.10000000000002</v>
      </c>
      <c r="M108" s="5">
        <v>10</v>
      </c>
      <c r="N108" s="1">
        <v>44786</v>
      </c>
      <c r="O108" s="6"/>
      <c r="P108" s="7">
        <f t="shared" si="5"/>
        <v>-261.20500000000004</v>
      </c>
      <c r="Q108" s="3"/>
    </row>
    <row r="109" spans="1:17" ht="15" customHeight="1">
      <c r="A109" s="1">
        <v>44775</v>
      </c>
      <c r="B109" s="25" t="s">
        <v>70</v>
      </c>
      <c r="C109" s="3" t="s">
        <v>132</v>
      </c>
      <c r="D109" s="4" t="s">
        <v>257</v>
      </c>
      <c r="E109" s="1"/>
      <c r="F109" s="5">
        <v>155.88</v>
      </c>
      <c r="G109" s="5"/>
      <c r="H109" s="29">
        <f t="shared" si="10"/>
        <v>15.587999999999999</v>
      </c>
      <c r="I109" s="5"/>
      <c r="J109" s="1">
        <v>44785</v>
      </c>
      <c r="K109" s="5">
        <v>0.7</v>
      </c>
      <c r="L109" s="5">
        <f t="shared" si="4"/>
        <v>7.6999999999999993</v>
      </c>
      <c r="M109" s="5">
        <v>200</v>
      </c>
      <c r="N109" s="1">
        <v>44793</v>
      </c>
      <c r="O109" s="6"/>
      <c r="P109" s="7">
        <f t="shared" si="5"/>
        <v>20.832000000000022</v>
      </c>
      <c r="Q109" s="3" t="s">
        <v>303</v>
      </c>
    </row>
    <row r="110" spans="1:17" ht="15" customHeight="1">
      <c r="A110" s="1">
        <v>44775</v>
      </c>
      <c r="B110" s="25" t="s">
        <v>70</v>
      </c>
      <c r="C110" s="3" t="s">
        <v>132</v>
      </c>
      <c r="D110" s="4" t="s">
        <v>257</v>
      </c>
      <c r="E110" s="1"/>
      <c r="F110" s="5"/>
      <c r="G110" s="5"/>
      <c r="H110" s="29">
        <f t="shared" si="10"/>
        <v>0</v>
      </c>
      <c r="I110" s="5"/>
      <c r="J110" s="1">
        <v>44792</v>
      </c>
      <c r="K110" s="5">
        <v>0</v>
      </c>
      <c r="L110" s="5">
        <f t="shared" si="4"/>
        <v>0</v>
      </c>
      <c r="M110" s="5">
        <v>108.98</v>
      </c>
      <c r="N110" s="1">
        <v>44807</v>
      </c>
      <c r="O110" s="6"/>
      <c r="P110" s="7">
        <f t="shared" si="5"/>
        <v>108.98</v>
      </c>
      <c r="Q110" s="3">
        <v>2</v>
      </c>
    </row>
    <row r="111" spans="1:17" ht="15" customHeight="1">
      <c r="A111" s="1">
        <v>44775</v>
      </c>
      <c r="B111" s="25" t="s">
        <v>70</v>
      </c>
      <c r="C111" s="3" t="s">
        <v>32</v>
      </c>
      <c r="D111" s="4" t="s">
        <v>258</v>
      </c>
      <c r="E111" s="1"/>
      <c r="F111" s="5">
        <v>17.399999999999999</v>
      </c>
      <c r="G111" s="5"/>
      <c r="H111" s="29">
        <f t="shared" si="10"/>
        <v>1.7399999999999998</v>
      </c>
      <c r="I111" s="5"/>
      <c r="J111" s="1">
        <v>44792</v>
      </c>
      <c r="K111" s="5">
        <v>0.35</v>
      </c>
      <c r="L111" s="5">
        <f t="shared" si="4"/>
        <v>3.8499999999999996</v>
      </c>
      <c r="M111" s="5">
        <v>4.91</v>
      </c>
      <c r="N111" s="1">
        <v>44793</v>
      </c>
      <c r="O111" s="6"/>
      <c r="P111" s="7">
        <f t="shared" si="5"/>
        <v>-18.079999999999995</v>
      </c>
      <c r="Q111" s="3"/>
    </row>
    <row r="112" spans="1:17">
      <c r="A112" s="1">
        <v>44775</v>
      </c>
      <c r="B112" s="25" t="s">
        <v>260</v>
      </c>
      <c r="C112" s="3" t="s">
        <v>81</v>
      </c>
      <c r="D112" s="4" t="s">
        <v>259</v>
      </c>
      <c r="E112" s="1"/>
      <c r="F112" s="5">
        <v>126</v>
      </c>
      <c r="G112" s="5"/>
      <c r="H112" s="29">
        <f t="shared" si="10"/>
        <v>12.6</v>
      </c>
      <c r="I112" s="5"/>
      <c r="J112" s="1">
        <v>44804</v>
      </c>
      <c r="K112" s="5">
        <v>0.8</v>
      </c>
      <c r="L112" s="5">
        <f t="shared" si="4"/>
        <v>8.8000000000000007</v>
      </c>
      <c r="M112" s="5">
        <f>150+9.9</f>
        <v>159.9</v>
      </c>
      <c r="N112" s="1">
        <v>44775</v>
      </c>
      <c r="O112" s="6"/>
      <c r="P112" s="7">
        <f t="shared" si="5"/>
        <v>12.5</v>
      </c>
      <c r="Q112" s="3"/>
    </row>
    <row r="113" spans="1:17" ht="15" customHeight="1">
      <c r="A113" s="1">
        <v>44776</v>
      </c>
      <c r="B113" s="25" t="s">
        <v>263</v>
      </c>
      <c r="C113" s="3" t="s">
        <v>262</v>
      </c>
      <c r="D113" s="4" t="s">
        <v>261</v>
      </c>
      <c r="E113" s="1"/>
      <c r="F113" s="5">
        <v>64.95</v>
      </c>
      <c r="G113" s="5"/>
      <c r="H113" s="29">
        <f t="shared" si="10"/>
        <v>6.495000000000001</v>
      </c>
      <c r="I113" s="5"/>
      <c r="J113" s="1">
        <v>44785</v>
      </c>
      <c r="K113" s="5">
        <v>0.9</v>
      </c>
      <c r="L113" s="5">
        <f t="shared" si="4"/>
        <v>9.9</v>
      </c>
      <c r="M113" s="5">
        <v>400</v>
      </c>
      <c r="N113" s="1">
        <v>44776</v>
      </c>
      <c r="O113" s="6"/>
      <c r="P113" s="7">
        <f t="shared" si="5"/>
        <v>318.65499999999997</v>
      </c>
      <c r="Q113" s="3"/>
    </row>
    <row r="114" spans="1:17" ht="15" customHeight="1">
      <c r="A114" s="1">
        <v>44776</v>
      </c>
      <c r="B114" s="25" t="s">
        <v>70</v>
      </c>
      <c r="C114" s="3" t="s">
        <v>262</v>
      </c>
      <c r="D114" s="4" t="s">
        <v>264</v>
      </c>
      <c r="E114" s="1"/>
      <c r="F114" s="5">
        <v>115</v>
      </c>
      <c r="G114" s="5"/>
      <c r="H114" s="29">
        <f t="shared" si="10"/>
        <v>11.5</v>
      </c>
      <c r="I114" s="5"/>
      <c r="J114" s="1">
        <v>44792</v>
      </c>
      <c r="K114" s="5">
        <v>0.9</v>
      </c>
      <c r="L114" s="5">
        <f t="shared" si="4"/>
        <v>9.9</v>
      </c>
      <c r="M114" s="5">
        <v>100</v>
      </c>
      <c r="N114" s="1">
        <v>44788</v>
      </c>
      <c r="O114" s="6"/>
      <c r="P114" s="7">
        <f t="shared" si="5"/>
        <v>-36.400000000000006</v>
      </c>
      <c r="Q114" s="3"/>
    </row>
    <row r="115" spans="1:17">
      <c r="A115" s="1">
        <v>44776</v>
      </c>
      <c r="B115" s="25" t="s">
        <v>266</v>
      </c>
      <c r="C115" s="3" t="s">
        <v>119</v>
      </c>
      <c r="D115" s="4" t="s">
        <v>265</v>
      </c>
      <c r="E115" s="1"/>
      <c r="F115" s="5">
        <v>266.98</v>
      </c>
      <c r="G115" s="5"/>
      <c r="H115" s="29">
        <f t="shared" si="10"/>
        <v>26.698000000000004</v>
      </c>
      <c r="I115" s="5"/>
      <c r="J115" s="1">
        <v>44799</v>
      </c>
      <c r="K115" s="5">
        <v>2.1</v>
      </c>
      <c r="L115" s="5">
        <f t="shared" si="4"/>
        <v>23.1</v>
      </c>
      <c r="M115" s="5">
        <v>300</v>
      </c>
      <c r="N115" s="1">
        <v>44776</v>
      </c>
      <c r="O115" s="6"/>
      <c r="P115" s="7">
        <f t="shared" si="5"/>
        <v>-16.77800000000002</v>
      </c>
      <c r="Q115" s="3"/>
    </row>
    <row r="116" spans="1:17">
      <c r="A116" s="1">
        <v>44776</v>
      </c>
      <c r="B116" s="25" t="s">
        <v>269</v>
      </c>
      <c r="C116" s="3" t="s">
        <v>268</v>
      </c>
      <c r="D116" s="4" t="s">
        <v>267</v>
      </c>
      <c r="E116" s="1"/>
      <c r="F116" s="5">
        <v>65.17</v>
      </c>
      <c r="G116" s="5"/>
      <c r="H116" s="29">
        <f t="shared" si="10"/>
        <v>6.5170000000000003</v>
      </c>
      <c r="I116" s="5"/>
      <c r="J116" s="1">
        <v>44799</v>
      </c>
      <c r="K116" s="5">
        <v>2.7</v>
      </c>
      <c r="L116" s="5">
        <f t="shared" si="4"/>
        <v>29.700000000000003</v>
      </c>
      <c r="M116" s="5">
        <f>70.95+30.44</f>
        <v>101.39</v>
      </c>
      <c r="N116" s="1">
        <v>44777</v>
      </c>
      <c r="O116" s="6"/>
      <c r="P116" s="7">
        <f t="shared" si="5"/>
        <v>3.0000000000001137E-3</v>
      </c>
      <c r="Q116" s="3"/>
    </row>
    <row r="117" spans="1:17" ht="30">
      <c r="A117" s="1">
        <v>44776</v>
      </c>
      <c r="B117" s="25" t="s">
        <v>271</v>
      </c>
      <c r="C117" s="3" t="s">
        <v>28</v>
      </c>
      <c r="D117" s="4" t="s">
        <v>270</v>
      </c>
      <c r="E117" s="1"/>
      <c r="F117" s="5">
        <v>695</v>
      </c>
      <c r="G117" s="5"/>
      <c r="H117" s="29">
        <f t="shared" si="10"/>
        <v>69.5</v>
      </c>
      <c r="I117" s="5"/>
      <c r="J117" s="1">
        <v>44799</v>
      </c>
      <c r="K117" s="5">
        <v>15.5</v>
      </c>
      <c r="L117" s="5">
        <f t="shared" si="4"/>
        <v>170.5</v>
      </c>
      <c r="M117" s="5">
        <v>1600</v>
      </c>
      <c r="N117" s="1">
        <v>44804</v>
      </c>
      <c r="O117" s="6"/>
      <c r="P117" s="7">
        <f t="shared" si="5"/>
        <v>665</v>
      </c>
      <c r="Q117" s="3"/>
    </row>
    <row r="118" spans="1:17">
      <c r="A118" s="1">
        <v>44777</v>
      </c>
      <c r="B118" s="25" t="s">
        <v>17</v>
      </c>
      <c r="C118" s="3" t="s">
        <v>28</v>
      </c>
      <c r="D118" s="4" t="s">
        <v>272</v>
      </c>
      <c r="E118" s="1"/>
      <c r="F118" s="5">
        <v>202.9</v>
      </c>
      <c r="G118" s="5"/>
      <c r="H118" s="29">
        <f t="shared" si="10"/>
        <v>20.29</v>
      </c>
      <c r="I118" s="5"/>
      <c r="J118" s="1">
        <v>44799</v>
      </c>
      <c r="K118" s="5">
        <v>0</v>
      </c>
      <c r="L118" s="5">
        <f t="shared" si="4"/>
        <v>0</v>
      </c>
      <c r="M118" s="5">
        <v>2400</v>
      </c>
      <c r="N118" s="1">
        <v>44814</v>
      </c>
      <c r="O118" s="6"/>
      <c r="P118" s="7">
        <f t="shared" si="5"/>
        <v>2176.81</v>
      </c>
      <c r="Q118" s="3"/>
    </row>
    <row r="119" spans="1:17">
      <c r="A119" s="1">
        <v>44777</v>
      </c>
      <c r="B119" s="25" t="s">
        <v>275</v>
      </c>
      <c r="C119" s="3" t="s">
        <v>274</v>
      </c>
      <c r="D119" s="4" t="s">
        <v>273</v>
      </c>
      <c r="E119" s="1"/>
      <c r="F119" s="5">
        <v>118</v>
      </c>
      <c r="G119" s="5"/>
      <c r="H119" s="29">
        <f t="shared" si="10"/>
        <v>11.799999999999999</v>
      </c>
      <c r="I119" s="5"/>
      <c r="J119" s="1">
        <v>44799</v>
      </c>
      <c r="K119" s="5">
        <v>0.8</v>
      </c>
      <c r="L119" s="5">
        <f t="shared" si="4"/>
        <v>8.8000000000000007</v>
      </c>
      <c r="M119" s="5">
        <v>140</v>
      </c>
      <c r="N119" s="1">
        <v>44809</v>
      </c>
      <c r="O119" s="6"/>
      <c r="P119" s="7">
        <f t="shared" si="5"/>
        <v>1.3999999999999773</v>
      </c>
      <c r="Q119" s="3"/>
    </row>
    <row r="120" spans="1:17">
      <c r="A120" s="1">
        <v>44777</v>
      </c>
      <c r="B120" s="25" t="s">
        <v>277</v>
      </c>
      <c r="C120" s="3" t="s">
        <v>28</v>
      </c>
      <c r="D120" s="4" t="s">
        <v>276</v>
      </c>
      <c r="E120" s="1"/>
      <c r="F120" s="5">
        <v>193.06</v>
      </c>
      <c r="G120" s="5"/>
      <c r="H120" s="29">
        <f t="shared" si="10"/>
        <v>19.306000000000001</v>
      </c>
      <c r="I120" s="5"/>
      <c r="J120" s="1">
        <v>44799</v>
      </c>
      <c r="K120" s="5">
        <v>0</v>
      </c>
      <c r="L120" s="5">
        <f t="shared" si="4"/>
        <v>0</v>
      </c>
      <c r="M120" s="5">
        <v>-36</v>
      </c>
      <c r="N120" s="1">
        <v>44817</v>
      </c>
      <c r="O120" s="6"/>
      <c r="P120" s="7">
        <f t="shared" si="5"/>
        <v>-248.36600000000001</v>
      </c>
      <c r="Q120" s="3"/>
    </row>
    <row r="121" spans="1:17">
      <c r="A121" s="1">
        <v>44777</v>
      </c>
      <c r="B121" s="25" t="s">
        <v>279</v>
      </c>
      <c r="C121" s="3" t="s">
        <v>28</v>
      </c>
      <c r="D121" s="33" t="s">
        <v>278</v>
      </c>
      <c r="E121" s="1"/>
      <c r="F121" s="5">
        <v>267</v>
      </c>
      <c r="G121" s="5"/>
      <c r="H121" s="29">
        <f t="shared" si="10"/>
        <v>26.7</v>
      </c>
      <c r="I121" s="5"/>
      <c r="J121" s="1">
        <v>44799</v>
      </c>
      <c r="K121" s="5">
        <v>0</v>
      </c>
      <c r="L121" s="5">
        <f t="shared" si="4"/>
        <v>0</v>
      </c>
      <c r="M121" s="5">
        <v>1600</v>
      </c>
      <c r="N121" s="1">
        <v>44821</v>
      </c>
      <c r="O121" s="6"/>
      <c r="P121" s="7">
        <f t="shared" si="5"/>
        <v>1306.3</v>
      </c>
      <c r="Q121" s="3"/>
    </row>
    <row r="122" spans="1:17" ht="15" customHeight="1">
      <c r="A122" s="1">
        <v>44777</v>
      </c>
      <c r="B122" s="25" t="s">
        <v>280</v>
      </c>
      <c r="C122" s="3" t="s">
        <v>28</v>
      </c>
      <c r="D122" s="4" t="s">
        <v>281</v>
      </c>
      <c r="E122" s="1"/>
      <c r="F122" s="5">
        <v>1385</v>
      </c>
      <c r="G122" s="5"/>
      <c r="H122" s="29">
        <f t="shared" si="10"/>
        <v>138.5</v>
      </c>
      <c r="I122" s="5"/>
      <c r="J122" s="1">
        <v>44799</v>
      </c>
      <c r="K122" s="5">
        <v>0</v>
      </c>
      <c r="L122" s="5">
        <f t="shared" si="4"/>
        <v>0</v>
      </c>
      <c r="M122" s="5">
        <v>2800</v>
      </c>
      <c r="N122" s="1">
        <v>44825</v>
      </c>
      <c r="O122" s="6"/>
      <c r="P122" s="7">
        <f t="shared" si="5"/>
        <v>1276.5</v>
      </c>
      <c r="Q122" s="3"/>
    </row>
    <row r="123" spans="1:17" ht="15" customHeight="1">
      <c r="A123" s="1">
        <v>44777</v>
      </c>
      <c r="B123" s="25" t="s">
        <v>282</v>
      </c>
      <c r="C123" s="3" t="s">
        <v>104</v>
      </c>
      <c r="D123" s="4" t="s">
        <v>298</v>
      </c>
      <c r="E123" s="1"/>
      <c r="F123" s="5">
        <v>230</v>
      </c>
      <c r="G123" s="5"/>
      <c r="H123" s="29">
        <f t="shared" si="10"/>
        <v>23</v>
      </c>
      <c r="I123" s="5"/>
      <c r="J123" s="1">
        <v>44799</v>
      </c>
      <c r="K123" s="5">
        <v>0.2</v>
      </c>
      <c r="L123" s="5">
        <f t="shared" si="4"/>
        <v>2.2000000000000002</v>
      </c>
      <c r="M123" s="5">
        <v>-10</v>
      </c>
      <c r="N123" s="1">
        <v>44785</v>
      </c>
      <c r="O123" s="6"/>
      <c r="P123" s="7">
        <f t="shared" si="5"/>
        <v>-265.2</v>
      </c>
      <c r="Q123" s="3"/>
    </row>
    <row r="124" spans="1:17" ht="15" customHeight="1">
      <c r="A124" s="1">
        <v>44778</v>
      </c>
      <c r="B124" s="25" t="s">
        <v>33</v>
      </c>
      <c r="C124" s="3" t="s">
        <v>69</v>
      </c>
      <c r="D124" s="4" t="s">
        <v>283</v>
      </c>
      <c r="E124" s="1"/>
      <c r="F124" s="5">
        <v>46.75</v>
      </c>
      <c r="G124" s="5"/>
      <c r="H124" s="29">
        <f t="shared" si="10"/>
        <v>4.6750000000000007</v>
      </c>
      <c r="I124" s="5"/>
      <c r="J124" s="1">
        <v>44792</v>
      </c>
      <c r="K124" s="5">
        <v>1.5</v>
      </c>
      <c r="L124" s="5">
        <f t="shared" si="4"/>
        <v>16.5</v>
      </c>
      <c r="M124" s="5">
        <v>300</v>
      </c>
      <c r="N124" s="1">
        <v>44852</v>
      </c>
      <c r="O124" s="6"/>
      <c r="P124" s="7">
        <f t="shared" si="5"/>
        <v>232.07499999999999</v>
      </c>
      <c r="Q124" s="3"/>
    </row>
    <row r="125" spans="1:17" ht="15" customHeight="1">
      <c r="A125" s="1">
        <v>44778</v>
      </c>
      <c r="B125" s="25" t="s">
        <v>215</v>
      </c>
      <c r="C125" s="3" t="s">
        <v>28</v>
      </c>
      <c r="D125" s="4" t="s">
        <v>284</v>
      </c>
      <c r="E125" s="1"/>
      <c r="F125" s="5">
        <v>84</v>
      </c>
      <c r="G125" s="5"/>
      <c r="H125" s="29">
        <f t="shared" si="10"/>
        <v>8.4</v>
      </c>
      <c r="I125" s="5"/>
      <c r="J125" s="1">
        <v>44792</v>
      </c>
      <c r="K125" s="5">
        <v>0</v>
      </c>
      <c r="L125" s="5">
        <f t="shared" si="4"/>
        <v>0</v>
      </c>
      <c r="M125" s="5">
        <v>16</v>
      </c>
      <c r="N125" s="1">
        <v>44830</v>
      </c>
      <c r="O125" s="6"/>
      <c r="P125" s="7">
        <f t="shared" si="5"/>
        <v>-76.400000000000006</v>
      </c>
      <c r="Q125" s="3" t="s">
        <v>344</v>
      </c>
    </row>
    <row r="126" spans="1:17" ht="15" customHeight="1">
      <c r="A126" s="1">
        <v>44778</v>
      </c>
      <c r="B126" s="25" t="s">
        <v>215</v>
      </c>
      <c r="C126" s="3" t="s">
        <v>28</v>
      </c>
      <c r="D126" s="4" t="s">
        <v>284</v>
      </c>
      <c r="E126" s="1"/>
      <c r="F126" s="5"/>
      <c r="G126" s="5"/>
      <c r="H126" s="29">
        <f t="shared" si="10"/>
        <v>0</v>
      </c>
      <c r="I126" s="5"/>
      <c r="J126" s="1">
        <v>44799</v>
      </c>
      <c r="K126" s="5">
        <v>0</v>
      </c>
      <c r="L126" s="5">
        <f t="shared" si="4"/>
        <v>0</v>
      </c>
      <c r="M126" s="5">
        <v>-40</v>
      </c>
      <c r="N126" s="1">
        <v>44834</v>
      </c>
      <c r="O126" s="6"/>
      <c r="P126" s="7">
        <f t="shared" si="5"/>
        <v>-40</v>
      </c>
      <c r="Q126" s="3" t="s">
        <v>344</v>
      </c>
    </row>
    <row r="127" spans="1:17">
      <c r="A127" s="1">
        <v>44778</v>
      </c>
      <c r="B127" s="25" t="s">
        <v>279</v>
      </c>
      <c r="C127" s="3" t="s">
        <v>28</v>
      </c>
      <c r="D127" s="4" t="s">
        <v>285</v>
      </c>
      <c r="E127" s="1"/>
      <c r="F127" s="5">
        <v>121.95</v>
      </c>
      <c r="G127" s="5"/>
      <c r="H127" s="29">
        <f t="shared" si="10"/>
        <v>12.195</v>
      </c>
      <c r="I127" s="5"/>
      <c r="J127" s="1">
        <v>44799</v>
      </c>
      <c r="K127" s="5">
        <v>0</v>
      </c>
      <c r="L127" s="5">
        <f t="shared" si="4"/>
        <v>0</v>
      </c>
      <c r="M127" s="5">
        <v>300</v>
      </c>
      <c r="N127" s="1">
        <v>44850</v>
      </c>
      <c r="O127" s="6"/>
      <c r="P127" s="7">
        <f t="shared" si="5"/>
        <v>165.85499999999999</v>
      </c>
      <c r="Q127" s="3"/>
    </row>
    <row r="128" spans="1:17">
      <c r="A128" s="1">
        <v>44778</v>
      </c>
      <c r="B128" s="25" t="s">
        <v>91</v>
      </c>
      <c r="C128" s="3" t="s">
        <v>28</v>
      </c>
      <c r="D128" s="4" t="s">
        <v>286</v>
      </c>
      <c r="E128" s="1"/>
      <c r="F128" s="5">
        <v>119.2</v>
      </c>
      <c r="G128" s="5"/>
      <c r="H128" s="29">
        <f t="shared" si="10"/>
        <v>11.92</v>
      </c>
      <c r="I128" s="5"/>
      <c r="J128" s="1">
        <v>44799</v>
      </c>
      <c r="K128" s="5">
        <v>0</v>
      </c>
      <c r="L128" s="5">
        <f t="shared" si="4"/>
        <v>0</v>
      </c>
      <c r="M128" s="5">
        <v>1700</v>
      </c>
      <c r="N128" s="1">
        <v>44855</v>
      </c>
      <c r="O128" s="6"/>
      <c r="P128" s="7">
        <f t="shared" si="5"/>
        <v>1568.88</v>
      </c>
      <c r="Q128" s="3"/>
    </row>
    <row r="129" spans="1:17">
      <c r="A129" s="1">
        <v>44780</v>
      </c>
      <c r="B129" s="25" t="s">
        <v>288</v>
      </c>
      <c r="C129" s="3" t="s">
        <v>287</v>
      </c>
      <c r="D129" s="4" t="s">
        <v>289</v>
      </c>
      <c r="E129" s="1"/>
      <c r="F129" s="5">
        <v>115</v>
      </c>
      <c r="G129" s="5"/>
      <c r="H129" s="29">
        <f t="shared" si="10"/>
        <v>11.5</v>
      </c>
      <c r="I129" s="5"/>
      <c r="J129" s="1">
        <v>44799</v>
      </c>
      <c r="K129" s="5">
        <v>0.9</v>
      </c>
      <c r="L129" s="5">
        <f t="shared" si="4"/>
        <v>9.9</v>
      </c>
      <c r="M129" s="5">
        <f>113+23</f>
        <v>136</v>
      </c>
      <c r="N129" s="1">
        <v>44781</v>
      </c>
      <c r="O129" s="6"/>
      <c r="P129" s="7">
        <f t="shared" si="5"/>
        <v>-0.40000000000000568</v>
      </c>
      <c r="Q129" s="3"/>
    </row>
    <row r="130" spans="1:17">
      <c r="A130" s="1">
        <v>44780</v>
      </c>
      <c r="B130" s="25" t="s">
        <v>291</v>
      </c>
      <c r="C130" s="3" t="s">
        <v>44</v>
      </c>
      <c r="D130" s="4" t="s">
        <v>290</v>
      </c>
      <c r="E130" s="1"/>
      <c r="F130" s="5">
        <v>73.5</v>
      </c>
      <c r="G130" s="5"/>
      <c r="H130" s="29">
        <f t="shared" si="10"/>
        <v>7.35</v>
      </c>
      <c r="I130" s="5"/>
      <c r="J130" s="1">
        <v>44792</v>
      </c>
      <c r="K130" s="5">
        <v>0.4</v>
      </c>
      <c r="L130" s="5">
        <f t="shared" si="4"/>
        <v>4.4000000000000004</v>
      </c>
      <c r="M130" s="5">
        <v>300</v>
      </c>
      <c r="N130" s="1">
        <v>44814</v>
      </c>
      <c r="O130" s="6"/>
      <c r="P130" s="7">
        <f t="shared" si="5"/>
        <v>214.75</v>
      </c>
      <c r="Q130" s="3" t="s">
        <v>167</v>
      </c>
    </row>
    <row r="131" spans="1:17">
      <c r="A131" s="1">
        <v>44780</v>
      </c>
      <c r="B131" s="25" t="s">
        <v>291</v>
      </c>
      <c r="C131" s="3" t="s">
        <v>44</v>
      </c>
      <c r="D131" s="4" t="s">
        <v>290</v>
      </c>
      <c r="E131" s="1"/>
      <c r="F131" s="5"/>
      <c r="G131" s="5"/>
      <c r="H131" s="29">
        <f t="shared" si="10"/>
        <v>0</v>
      </c>
      <c r="I131" s="5"/>
      <c r="J131" s="1">
        <v>44799</v>
      </c>
      <c r="K131" s="5">
        <v>0.3</v>
      </c>
      <c r="L131" s="5">
        <f t="shared" ref="L131:L197" si="11">K131*11</f>
        <v>3.3</v>
      </c>
      <c r="M131" s="5">
        <v>100</v>
      </c>
      <c r="N131" s="1">
        <v>44828</v>
      </c>
      <c r="O131" s="6"/>
      <c r="P131" s="7">
        <f t="shared" ref="P131:P197" si="12">M131-(F131+G131+H131+L131)</f>
        <v>96.7</v>
      </c>
      <c r="Q131" s="3">
        <v>1</v>
      </c>
    </row>
    <row r="132" spans="1:17">
      <c r="A132" s="1">
        <v>44781</v>
      </c>
      <c r="B132" s="25" t="s">
        <v>91</v>
      </c>
      <c r="C132" s="3" t="s">
        <v>89</v>
      </c>
      <c r="D132" s="4" t="s">
        <v>292</v>
      </c>
      <c r="E132" s="1"/>
      <c r="F132" s="5">
        <v>261.56</v>
      </c>
      <c r="G132" s="5"/>
      <c r="H132" s="29">
        <f t="shared" si="10"/>
        <v>26.156000000000002</v>
      </c>
      <c r="I132" s="5"/>
      <c r="J132" s="1">
        <v>44799</v>
      </c>
      <c r="K132" s="5">
        <v>5.2</v>
      </c>
      <c r="L132" s="5">
        <f t="shared" si="11"/>
        <v>57.2</v>
      </c>
      <c r="M132" s="5">
        <v>288.11</v>
      </c>
      <c r="N132" s="1">
        <v>44819</v>
      </c>
      <c r="O132" s="6"/>
      <c r="P132" s="7">
        <f t="shared" si="12"/>
        <v>-56.805999999999983</v>
      </c>
      <c r="Q132" s="3"/>
    </row>
    <row r="133" spans="1:17" ht="15" customHeight="1">
      <c r="A133" s="1">
        <v>44781</v>
      </c>
      <c r="B133" s="25" t="s">
        <v>295</v>
      </c>
      <c r="C133" s="3" t="s">
        <v>294</v>
      </c>
      <c r="D133" s="4" t="s">
        <v>293</v>
      </c>
      <c r="E133" s="1"/>
      <c r="F133" s="5">
        <v>94.96</v>
      </c>
      <c r="G133" s="5"/>
      <c r="H133" s="29">
        <f t="shared" si="10"/>
        <v>9.4959999999999987</v>
      </c>
      <c r="I133" s="5"/>
      <c r="J133" s="1">
        <v>44799</v>
      </c>
      <c r="K133" s="5">
        <v>2.7</v>
      </c>
      <c r="L133" s="5">
        <f t="shared" si="11"/>
        <v>29.700000000000003</v>
      </c>
      <c r="M133" s="5">
        <f>104.5+29.62</f>
        <v>134.12</v>
      </c>
      <c r="N133" s="1">
        <v>44783</v>
      </c>
      <c r="O133" s="6"/>
      <c r="P133" s="7">
        <f t="shared" si="12"/>
        <v>-3.6000000000001364E-2</v>
      </c>
      <c r="Q133" s="3"/>
    </row>
    <row r="134" spans="1:17" ht="15" customHeight="1">
      <c r="A134" s="1">
        <v>44783</v>
      </c>
      <c r="B134" s="25" t="s">
        <v>263</v>
      </c>
      <c r="C134" s="3" t="s">
        <v>57</v>
      </c>
      <c r="D134" s="4" t="s">
        <v>302</v>
      </c>
      <c r="E134" s="1"/>
      <c r="F134" s="5">
        <v>73.36</v>
      </c>
      <c r="G134" s="5"/>
      <c r="H134" s="29">
        <f t="shared" si="10"/>
        <v>7.3360000000000003</v>
      </c>
      <c r="I134" s="5"/>
      <c r="J134" s="1">
        <v>44799</v>
      </c>
      <c r="K134" s="5">
        <v>0.7</v>
      </c>
      <c r="L134" s="5">
        <f t="shared" si="11"/>
        <v>7.6999999999999993</v>
      </c>
      <c r="M134" s="5">
        <v>88</v>
      </c>
      <c r="N134" s="1">
        <v>44814</v>
      </c>
      <c r="O134" s="6"/>
      <c r="P134" s="7">
        <f t="shared" si="12"/>
        <v>-0.3960000000000008</v>
      </c>
      <c r="Q134" s="3"/>
    </row>
    <row r="135" spans="1:17">
      <c r="A135" s="1">
        <v>44785</v>
      </c>
      <c r="B135" s="25" t="s">
        <v>306</v>
      </c>
      <c r="C135" s="3" t="s">
        <v>28</v>
      </c>
      <c r="D135" s="4" t="s">
        <v>304</v>
      </c>
      <c r="E135" s="1"/>
      <c r="F135" s="5">
        <v>151.94999999999999</v>
      </c>
      <c r="G135" s="5"/>
      <c r="H135" s="29">
        <f t="shared" si="10"/>
        <v>15.194999999999999</v>
      </c>
      <c r="I135" s="29">
        <v>30</v>
      </c>
      <c r="J135" s="1">
        <v>44812</v>
      </c>
      <c r="K135" s="5">
        <v>14.3</v>
      </c>
      <c r="L135" s="5">
        <f t="shared" si="11"/>
        <v>157.30000000000001</v>
      </c>
      <c r="M135" s="5">
        <v>6000</v>
      </c>
      <c r="N135" s="1">
        <v>44858</v>
      </c>
      <c r="O135" s="6"/>
      <c r="P135" s="7">
        <f t="shared" si="12"/>
        <v>5675.5550000000003</v>
      </c>
      <c r="Q135" s="3"/>
    </row>
    <row r="136" spans="1:17">
      <c r="A136" s="1">
        <v>44785</v>
      </c>
      <c r="B136" s="25" t="s">
        <v>108</v>
      </c>
      <c r="C136" s="3" t="s">
        <v>145</v>
      </c>
      <c r="D136" s="4" t="s">
        <v>305</v>
      </c>
      <c r="E136" s="1"/>
      <c r="F136" s="5">
        <v>62.1</v>
      </c>
      <c r="G136" s="5"/>
      <c r="H136" s="29">
        <f t="shared" si="10"/>
        <v>6.21</v>
      </c>
      <c r="I136" s="5"/>
      <c r="J136" s="1">
        <v>44799</v>
      </c>
      <c r="K136" s="5">
        <v>1.1000000000000001</v>
      </c>
      <c r="L136" s="5">
        <f t="shared" si="11"/>
        <v>12.100000000000001</v>
      </c>
      <c r="M136" s="5">
        <v>42</v>
      </c>
      <c r="N136" s="1">
        <v>44785</v>
      </c>
      <c r="O136" s="6"/>
      <c r="P136" s="7">
        <f t="shared" si="12"/>
        <v>-38.409999999999997</v>
      </c>
      <c r="Q136" s="3"/>
    </row>
    <row r="137" spans="1:17">
      <c r="A137" s="1">
        <v>44785</v>
      </c>
      <c r="B137" s="25" t="s">
        <v>308</v>
      </c>
      <c r="C137" s="3" t="s">
        <v>28</v>
      </c>
      <c r="D137" s="4" t="s">
        <v>307</v>
      </c>
      <c r="E137" s="1"/>
      <c r="F137" s="5">
        <v>124</v>
      </c>
      <c r="G137" s="5"/>
      <c r="H137" s="29">
        <f t="shared" ref="H137:H151" si="13">(F137/100)*10</f>
        <v>12.4</v>
      </c>
      <c r="I137" s="5"/>
      <c r="J137" s="1">
        <v>44799</v>
      </c>
      <c r="K137" s="5">
        <v>0</v>
      </c>
      <c r="L137" s="5">
        <f t="shared" si="11"/>
        <v>0</v>
      </c>
      <c r="M137" s="5">
        <v>1000</v>
      </c>
      <c r="N137" s="1">
        <v>44863</v>
      </c>
      <c r="O137" s="6"/>
      <c r="P137" s="7">
        <f t="shared" si="12"/>
        <v>863.6</v>
      </c>
      <c r="Q137" s="3"/>
    </row>
    <row r="138" spans="1:17">
      <c r="A138" s="1">
        <v>44785</v>
      </c>
      <c r="B138" s="25" t="s">
        <v>310</v>
      </c>
      <c r="C138" s="3" t="s">
        <v>28</v>
      </c>
      <c r="D138" s="4" t="s">
        <v>309</v>
      </c>
      <c r="E138" s="1"/>
      <c r="F138" s="5">
        <v>51</v>
      </c>
      <c r="G138" s="5"/>
      <c r="H138" s="29">
        <f t="shared" si="13"/>
        <v>5.0999999999999996</v>
      </c>
      <c r="I138" s="5"/>
      <c r="J138" s="1">
        <v>44799</v>
      </c>
      <c r="K138" s="5">
        <v>0</v>
      </c>
      <c r="L138" s="5">
        <f t="shared" si="11"/>
        <v>0</v>
      </c>
      <c r="M138" s="5">
        <v>1400</v>
      </c>
      <c r="N138" s="1">
        <v>44866</v>
      </c>
      <c r="O138" s="6"/>
      <c r="P138" s="7">
        <f t="shared" si="12"/>
        <v>1343.9</v>
      </c>
      <c r="Q138" s="3"/>
    </row>
    <row r="139" spans="1:17" ht="15" customHeight="1">
      <c r="A139" s="1">
        <v>44785</v>
      </c>
      <c r="B139" s="25" t="s">
        <v>215</v>
      </c>
      <c r="C139" s="3" t="s">
        <v>28</v>
      </c>
      <c r="D139" s="4" t="s">
        <v>311</v>
      </c>
      <c r="E139" s="1"/>
      <c r="F139" s="5">
        <v>67</v>
      </c>
      <c r="G139" s="5"/>
      <c r="H139" s="29">
        <f t="shared" si="13"/>
        <v>6.7</v>
      </c>
      <c r="I139" s="5"/>
      <c r="J139" s="1">
        <v>44799</v>
      </c>
      <c r="K139" s="5">
        <v>0</v>
      </c>
      <c r="L139" s="5">
        <f t="shared" si="11"/>
        <v>0</v>
      </c>
      <c r="M139" s="5">
        <v>700</v>
      </c>
      <c r="N139" s="1">
        <v>44867</v>
      </c>
      <c r="O139" s="6"/>
      <c r="P139" s="7">
        <f t="shared" si="12"/>
        <v>626.29999999999995</v>
      </c>
      <c r="Q139" s="3" t="s">
        <v>404</v>
      </c>
    </row>
    <row r="140" spans="1:17" ht="15" customHeight="1">
      <c r="A140" s="1">
        <v>44785</v>
      </c>
      <c r="B140" s="25" t="s">
        <v>215</v>
      </c>
      <c r="C140" s="3" t="s">
        <v>28</v>
      </c>
      <c r="D140" s="4" t="s">
        <v>311</v>
      </c>
      <c r="E140" s="1"/>
      <c r="F140" s="5"/>
      <c r="G140" s="5"/>
      <c r="H140" s="29">
        <f t="shared" si="13"/>
        <v>0</v>
      </c>
      <c r="I140" s="5"/>
      <c r="J140" s="1">
        <v>44804</v>
      </c>
      <c r="K140" s="5">
        <v>7</v>
      </c>
      <c r="L140" s="5">
        <f t="shared" si="11"/>
        <v>77</v>
      </c>
      <c r="M140" s="5"/>
      <c r="N140" s="1"/>
      <c r="O140" s="6"/>
      <c r="P140" s="7">
        <f t="shared" si="12"/>
        <v>-77</v>
      </c>
      <c r="Q140" s="3" t="s">
        <v>404</v>
      </c>
    </row>
    <row r="141" spans="1:17" ht="15" customHeight="1">
      <c r="A141" s="1">
        <v>44785</v>
      </c>
      <c r="B141" s="25" t="s">
        <v>312</v>
      </c>
      <c r="C141" s="3" t="s">
        <v>28</v>
      </c>
      <c r="D141" s="4" t="s">
        <v>329</v>
      </c>
      <c r="E141" s="1"/>
      <c r="F141" s="5">
        <v>1095</v>
      </c>
      <c r="G141" s="5"/>
      <c r="H141" s="29">
        <f t="shared" si="13"/>
        <v>109.5</v>
      </c>
      <c r="I141" s="5"/>
      <c r="J141" s="1">
        <v>44807</v>
      </c>
      <c r="K141" s="5">
        <v>8.8000000000000007</v>
      </c>
      <c r="L141" s="5">
        <f t="shared" si="11"/>
        <v>96.800000000000011</v>
      </c>
      <c r="M141" s="5"/>
      <c r="N141" s="1"/>
      <c r="O141" s="6"/>
      <c r="P141" s="7">
        <f t="shared" si="12"/>
        <v>-1301.3</v>
      </c>
      <c r="Q141" s="3"/>
    </row>
    <row r="142" spans="1:17" ht="15" customHeight="1">
      <c r="A142" s="1">
        <v>44785</v>
      </c>
      <c r="B142" s="25" t="s">
        <v>70</v>
      </c>
      <c r="C142" s="3" t="s">
        <v>28</v>
      </c>
      <c r="D142" s="4" t="s">
        <v>313</v>
      </c>
      <c r="E142" s="1"/>
      <c r="F142" s="5">
        <v>36.700000000000003</v>
      </c>
      <c r="G142" s="5"/>
      <c r="H142" s="29">
        <f t="shared" si="13"/>
        <v>3.6700000000000004</v>
      </c>
      <c r="I142" s="5"/>
      <c r="J142" s="1">
        <v>44804</v>
      </c>
      <c r="K142" s="5">
        <v>0</v>
      </c>
      <c r="L142" s="5">
        <f t="shared" si="11"/>
        <v>0</v>
      </c>
      <c r="M142" s="5"/>
      <c r="N142" s="1"/>
      <c r="O142" s="6"/>
      <c r="P142" s="7">
        <f t="shared" si="12"/>
        <v>-40.370000000000005</v>
      </c>
      <c r="Q142" s="3"/>
    </row>
    <row r="143" spans="1:17">
      <c r="A143" s="1">
        <v>44785</v>
      </c>
      <c r="B143" s="25" t="s">
        <v>279</v>
      </c>
      <c r="C143" s="3" t="s">
        <v>28</v>
      </c>
      <c r="D143" s="4" t="s">
        <v>314</v>
      </c>
      <c r="E143" s="1"/>
      <c r="F143" s="5">
        <v>45.87</v>
      </c>
      <c r="G143" s="5"/>
      <c r="H143" s="29">
        <f t="shared" si="13"/>
        <v>4.5869999999999997</v>
      </c>
      <c r="I143" s="5"/>
      <c r="J143" s="1">
        <v>44804</v>
      </c>
      <c r="K143" s="5">
        <v>0</v>
      </c>
      <c r="L143" s="5">
        <f t="shared" si="11"/>
        <v>0</v>
      </c>
      <c r="M143" s="5"/>
      <c r="N143" s="1"/>
      <c r="O143" s="6"/>
      <c r="P143" s="7">
        <f t="shared" si="12"/>
        <v>-50.456999999999994</v>
      </c>
      <c r="Q143" s="3"/>
    </row>
    <row r="144" spans="1:17" ht="15" customHeight="1">
      <c r="A144" s="1">
        <v>44785</v>
      </c>
      <c r="B144" s="25" t="s">
        <v>280</v>
      </c>
      <c r="C144" s="3" t="s">
        <v>28</v>
      </c>
      <c r="D144" s="4" t="s">
        <v>325</v>
      </c>
      <c r="E144" s="1"/>
      <c r="F144" s="5">
        <v>548</v>
      </c>
      <c r="G144" s="5"/>
      <c r="H144" s="29">
        <f t="shared" si="13"/>
        <v>54.800000000000004</v>
      </c>
      <c r="I144" s="5"/>
      <c r="J144" s="1">
        <v>44804</v>
      </c>
      <c r="K144" s="5">
        <v>0</v>
      </c>
      <c r="L144" s="5">
        <f t="shared" si="11"/>
        <v>0</v>
      </c>
      <c r="M144" s="5"/>
      <c r="N144" s="1"/>
      <c r="O144" s="6"/>
      <c r="P144" s="7">
        <f t="shared" si="12"/>
        <v>-602.79999999999995</v>
      </c>
      <c r="Q144" s="3"/>
    </row>
    <row r="145" spans="1:17" ht="15" customHeight="1">
      <c r="A145" s="1">
        <v>44785</v>
      </c>
      <c r="B145" s="25" t="s">
        <v>41</v>
      </c>
      <c r="C145" s="3" t="s">
        <v>145</v>
      </c>
      <c r="D145" s="4" t="s">
        <v>317</v>
      </c>
      <c r="E145" s="1"/>
      <c r="F145" s="5">
        <v>26.99</v>
      </c>
      <c r="G145" s="5"/>
      <c r="H145" s="29">
        <f t="shared" si="13"/>
        <v>2.6989999999999998</v>
      </c>
      <c r="I145" s="5"/>
      <c r="J145" s="1">
        <v>44799</v>
      </c>
      <c r="K145" s="5">
        <v>0</v>
      </c>
      <c r="L145" s="5">
        <f t="shared" si="11"/>
        <v>0</v>
      </c>
      <c r="M145" s="5">
        <v>63.75</v>
      </c>
      <c r="N145" s="1">
        <v>44786</v>
      </c>
      <c r="O145" s="6"/>
      <c r="P145" s="7">
        <f t="shared" si="12"/>
        <v>34.061</v>
      </c>
      <c r="Q145" s="3"/>
    </row>
    <row r="146" spans="1:17">
      <c r="A146" s="1">
        <v>44785</v>
      </c>
      <c r="B146" s="25" t="s">
        <v>319</v>
      </c>
      <c r="C146" s="3" t="s">
        <v>28</v>
      </c>
      <c r="D146" s="4" t="s">
        <v>318</v>
      </c>
      <c r="E146" s="1"/>
      <c r="F146" s="5">
        <v>131.41999999999999</v>
      </c>
      <c r="G146" s="5"/>
      <c r="H146" s="29">
        <f t="shared" si="13"/>
        <v>13.141999999999998</v>
      </c>
      <c r="I146" s="5"/>
      <c r="J146" s="1">
        <v>44804</v>
      </c>
      <c r="K146" s="5">
        <v>0</v>
      </c>
      <c r="L146" s="5">
        <f t="shared" si="11"/>
        <v>0</v>
      </c>
      <c r="M146" s="5"/>
      <c r="N146" s="1"/>
      <c r="O146" s="6"/>
      <c r="P146" s="7">
        <f t="shared" si="12"/>
        <v>-144.56199999999998</v>
      </c>
      <c r="Q146" s="3" t="s">
        <v>167</v>
      </c>
    </row>
    <row r="147" spans="1:17">
      <c r="A147" s="1">
        <v>44785</v>
      </c>
      <c r="B147" s="25" t="s">
        <v>319</v>
      </c>
      <c r="C147" s="3" t="s">
        <v>28</v>
      </c>
      <c r="D147" s="4" t="s">
        <v>318</v>
      </c>
      <c r="E147" s="1"/>
      <c r="F147" s="5"/>
      <c r="G147" s="5"/>
      <c r="H147" s="5">
        <f t="shared" si="13"/>
        <v>0</v>
      </c>
      <c r="I147" s="5"/>
      <c r="J147" s="1">
        <v>44812</v>
      </c>
      <c r="K147" s="5">
        <v>0</v>
      </c>
      <c r="L147" s="5">
        <f t="shared" si="11"/>
        <v>0</v>
      </c>
      <c r="M147" s="5"/>
      <c r="N147" s="1"/>
      <c r="O147" s="6"/>
      <c r="P147" s="7">
        <f t="shared" si="12"/>
        <v>0</v>
      </c>
      <c r="Q147" s="3">
        <v>1</v>
      </c>
    </row>
    <row r="148" spans="1:17" ht="15" customHeight="1">
      <c r="A148" s="1">
        <v>44785</v>
      </c>
      <c r="B148" s="25" t="s">
        <v>321</v>
      </c>
      <c r="C148" s="3" t="s">
        <v>28</v>
      </c>
      <c r="D148" s="4" t="s">
        <v>320</v>
      </c>
      <c r="E148" s="1"/>
      <c r="F148" s="5">
        <v>26.95</v>
      </c>
      <c r="G148" s="5"/>
      <c r="H148" s="29">
        <f t="shared" si="13"/>
        <v>2.6950000000000003</v>
      </c>
      <c r="I148" s="5"/>
      <c r="J148" s="1">
        <v>44799</v>
      </c>
      <c r="K148" s="5">
        <v>0</v>
      </c>
      <c r="L148" s="5">
        <f t="shared" si="11"/>
        <v>0</v>
      </c>
      <c r="M148" s="5"/>
      <c r="N148" s="1"/>
      <c r="O148" s="6"/>
      <c r="P148" s="7">
        <f t="shared" si="12"/>
        <v>-29.645</v>
      </c>
      <c r="Q148" s="3"/>
    </row>
    <row r="149" spans="1:17" ht="15" customHeight="1">
      <c r="A149" s="1">
        <v>44785</v>
      </c>
      <c r="B149" s="25" t="s">
        <v>70</v>
      </c>
      <c r="C149" s="3" t="s">
        <v>323</v>
      </c>
      <c r="D149" s="4" t="s">
        <v>322</v>
      </c>
      <c r="E149" s="1"/>
      <c r="F149" s="5">
        <v>212</v>
      </c>
      <c r="G149" s="5"/>
      <c r="H149" s="29">
        <f t="shared" si="13"/>
        <v>21.200000000000003</v>
      </c>
      <c r="I149" s="5"/>
      <c r="J149" s="1">
        <v>44799</v>
      </c>
      <c r="K149" s="5">
        <v>0.1</v>
      </c>
      <c r="L149" s="5">
        <f t="shared" si="11"/>
        <v>1.1000000000000001</v>
      </c>
      <c r="M149" s="5">
        <f>233+1.3</f>
        <v>234.3</v>
      </c>
      <c r="N149" s="1">
        <v>44785</v>
      </c>
      <c r="O149" s="6"/>
      <c r="P149" s="7">
        <f t="shared" si="12"/>
        <v>0</v>
      </c>
      <c r="Q149" s="3"/>
    </row>
    <row r="150" spans="1:17" ht="15" customHeight="1">
      <c r="A150" s="1">
        <v>44785</v>
      </c>
      <c r="B150" s="25" t="s">
        <v>33</v>
      </c>
      <c r="C150" s="3" t="s">
        <v>116</v>
      </c>
      <c r="D150" s="4" t="s">
        <v>324</v>
      </c>
      <c r="E150" s="1"/>
      <c r="F150" s="5">
        <v>49.99</v>
      </c>
      <c r="G150" s="5"/>
      <c r="H150" s="29">
        <f t="shared" si="13"/>
        <v>4.9990000000000006</v>
      </c>
      <c r="I150" s="5"/>
      <c r="J150" s="1">
        <v>44799</v>
      </c>
      <c r="K150" s="5">
        <v>1</v>
      </c>
      <c r="L150" s="5">
        <f t="shared" si="11"/>
        <v>11</v>
      </c>
      <c r="M150" s="5">
        <f>55+11</f>
        <v>66</v>
      </c>
      <c r="N150" s="1">
        <v>44785</v>
      </c>
      <c r="O150" s="6"/>
      <c r="P150" s="7">
        <f t="shared" si="12"/>
        <v>1.099999999999568E-2</v>
      </c>
      <c r="Q150" s="3"/>
    </row>
    <row r="151" spans="1:17">
      <c r="A151" s="1">
        <v>44786</v>
      </c>
      <c r="B151" s="25" t="s">
        <v>327</v>
      </c>
      <c r="C151" s="3" t="s">
        <v>262</v>
      </c>
      <c r="D151" s="4" t="s">
        <v>326</v>
      </c>
      <c r="E151" s="1"/>
      <c r="F151" s="5">
        <v>172.42</v>
      </c>
      <c r="G151" s="5"/>
      <c r="H151" s="29">
        <f t="shared" si="13"/>
        <v>17.242000000000001</v>
      </c>
      <c r="I151" s="5"/>
      <c r="J151" s="1">
        <v>44804</v>
      </c>
      <c r="K151" s="5">
        <v>0.5</v>
      </c>
      <c r="L151" s="5">
        <f t="shared" si="11"/>
        <v>5.5</v>
      </c>
      <c r="M151" s="5">
        <v>100</v>
      </c>
      <c r="N151" s="1">
        <v>44811</v>
      </c>
      <c r="O151" s="6"/>
      <c r="P151" s="7">
        <f t="shared" si="12"/>
        <v>-95.161999999999978</v>
      </c>
      <c r="Q151" s="3"/>
    </row>
    <row r="152" spans="1:17" ht="15" customHeight="1">
      <c r="A152" s="1">
        <v>44785</v>
      </c>
      <c r="B152" s="25" t="s">
        <v>33</v>
      </c>
      <c r="C152" s="3" t="s">
        <v>328</v>
      </c>
      <c r="D152" s="4" t="s">
        <v>324</v>
      </c>
      <c r="E152" s="1"/>
      <c r="F152" s="5">
        <v>55</v>
      </c>
      <c r="G152" s="5"/>
      <c r="H152" s="5"/>
      <c r="I152" s="5"/>
      <c r="J152" s="1">
        <v>44799</v>
      </c>
      <c r="K152" s="5">
        <v>1</v>
      </c>
      <c r="L152" s="5">
        <f t="shared" si="11"/>
        <v>11</v>
      </c>
      <c r="M152" s="5"/>
      <c r="N152" s="1"/>
      <c r="O152" s="6"/>
      <c r="P152" s="7">
        <f t="shared" si="12"/>
        <v>-66</v>
      </c>
      <c r="Q152" s="3"/>
    </row>
    <row r="153" spans="1:17" ht="15" customHeight="1">
      <c r="A153" s="1">
        <v>44788</v>
      </c>
      <c r="B153" s="25" t="s">
        <v>215</v>
      </c>
      <c r="C153" s="3" t="s">
        <v>28</v>
      </c>
      <c r="D153" s="4" t="s">
        <v>332</v>
      </c>
      <c r="E153" s="1"/>
      <c r="F153" s="5">
        <v>120</v>
      </c>
      <c r="G153" s="29"/>
      <c r="H153" s="29">
        <f t="shared" ref="H153:H187" si="14">(F153/100)*10</f>
        <v>12</v>
      </c>
      <c r="I153" s="5"/>
      <c r="J153" s="1">
        <v>44804</v>
      </c>
      <c r="K153" s="5">
        <v>0</v>
      </c>
      <c r="L153" s="5">
        <f t="shared" si="11"/>
        <v>0</v>
      </c>
      <c r="M153" s="5"/>
      <c r="N153" s="1"/>
      <c r="O153" s="6"/>
      <c r="P153" s="7">
        <f t="shared" si="12"/>
        <v>-132</v>
      </c>
      <c r="Q153" s="3" t="s">
        <v>303</v>
      </c>
    </row>
    <row r="154" spans="1:17" ht="15" customHeight="1">
      <c r="A154" s="1">
        <v>44788</v>
      </c>
      <c r="B154" s="25" t="s">
        <v>215</v>
      </c>
      <c r="C154" s="3" t="s">
        <v>28</v>
      </c>
      <c r="D154" s="4" t="s">
        <v>332</v>
      </c>
      <c r="E154" s="1"/>
      <c r="F154" s="5"/>
      <c r="G154" s="29"/>
      <c r="H154" s="29">
        <f t="shared" si="14"/>
        <v>0</v>
      </c>
      <c r="I154" s="5"/>
      <c r="J154" s="1">
        <v>44807</v>
      </c>
      <c r="K154" s="5">
        <v>0</v>
      </c>
      <c r="L154" s="5">
        <f t="shared" si="11"/>
        <v>0</v>
      </c>
      <c r="M154" s="5"/>
      <c r="N154" s="1"/>
      <c r="O154" s="6"/>
      <c r="P154" s="7">
        <f t="shared" si="12"/>
        <v>0</v>
      </c>
      <c r="Q154" s="3" t="s">
        <v>303</v>
      </c>
    </row>
    <row r="155" spans="1:17" ht="15" customHeight="1">
      <c r="A155" s="1">
        <v>44788</v>
      </c>
      <c r="B155" s="25" t="s">
        <v>215</v>
      </c>
      <c r="C155" s="3" t="s">
        <v>28</v>
      </c>
      <c r="D155" s="4" t="s">
        <v>332</v>
      </c>
      <c r="E155" s="1"/>
      <c r="F155" s="5"/>
      <c r="G155" s="29"/>
      <c r="H155" s="29">
        <f t="shared" ref="H155" si="15">(F155/100)*10</f>
        <v>0</v>
      </c>
      <c r="I155" s="5"/>
      <c r="J155" s="1">
        <v>44848</v>
      </c>
      <c r="K155" s="5">
        <v>9.5</v>
      </c>
      <c r="L155" s="5">
        <f t="shared" ref="L155" si="16">K155*11</f>
        <v>104.5</v>
      </c>
      <c r="M155" s="5"/>
      <c r="N155" s="1"/>
      <c r="O155" s="6"/>
      <c r="P155" s="7">
        <f t="shared" ref="P155" si="17">M155-(F155+G155+H155+L155)</f>
        <v>-104.5</v>
      </c>
      <c r="Q155" s="3" t="s">
        <v>303</v>
      </c>
    </row>
    <row r="156" spans="1:17">
      <c r="A156" s="1">
        <v>44788</v>
      </c>
      <c r="B156" s="25" t="s">
        <v>334</v>
      </c>
      <c r="C156" s="3" t="s">
        <v>28</v>
      </c>
      <c r="D156" s="4" t="s">
        <v>333</v>
      </c>
      <c r="E156" s="1"/>
      <c r="F156" s="5">
        <v>532.5</v>
      </c>
      <c r="G156" s="29"/>
      <c r="H156" s="29">
        <f t="shared" si="14"/>
        <v>53.25</v>
      </c>
      <c r="I156" s="5"/>
      <c r="J156" s="1">
        <v>44804</v>
      </c>
      <c r="K156" s="5">
        <v>0</v>
      </c>
      <c r="L156" s="5">
        <f t="shared" si="11"/>
        <v>0</v>
      </c>
      <c r="M156" s="5"/>
      <c r="N156" s="1"/>
      <c r="O156" s="6"/>
      <c r="P156" s="7">
        <f t="shared" si="12"/>
        <v>-585.75</v>
      </c>
      <c r="Q156" s="3"/>
    </row>
    <row r="157" spans="1:17" ht="15" customHeight="1">
      <c r="A157" s="1">
        <v>44788</v>
      </c>
      <c r="B157" s="25" t="s">
        <v>336</v>
      </c>
      <c r="C157" s="3" t="s">
        <v>28</v>
      </c>
      <c r="D157" s="4" t="s">
        <v>335</v>
      </c>
      <c r="E157" s="1"/>
      <c r="F157" s="5">
        <v>230</v>
      </c>
      <c r="G157" s="29"/>
      <c r="H157" s="29">
        <f t="shared" si="14"/>
        <v>23</v>
      </c>
      <c r="I157" s="5"/>
      <c r="J157" s="1">
        <v>44807</v>
      </c>
      <c r="K157" s="5">
        <v>0</v>
      </c>
      <c r="L157" s="5">
        <f t="shared" si="11"/>
        <v>0</v>
      </c>
      <c r="M157" s="5"/>
      <c r="N157" s="1"/>
      <c r="O157" s="6"/>
      <c r="P157" s="7">
        <f t="shared" si="12"/>
        <v>-253</v>
      </c>
      <c r="Q157" s="3"/>
    </row>
    <row r="158" spans="1:17" ht="15" customHeight="1">
      <c r="A158" s="1">
        <v>44788</v>
      </c>
      <c r="B158" s="25" t="s">
        <v>337</v>
      </c>
      <c r="C158" s="3" t="s">
        <v>28</v>
      </c>
      <c r="D158" s="4" t="s">
        <v>342</v>
      </c>
      <c r="E158" s="1"/>
      <c r="F158" s="5">
        <v>890</v>
      </c>
      <c r="G158" s="29"/>
      <c r="H158" s="29">
        <f t="shared" si="14"/>
        <v>89</v>
      </c>
      <c r="I158" s="5"/>
      <c r="J158" s="1">
        <v>44812</v>
      </c>
      <c r="K158" s="5">
        <v>0</v>
      </c>
      <c r="L158" s="5">
        <f t="shared" si="11"/>
        <v>0</v>
      </c>
      <c r="M158" s="5"/>
      <c r="N158" s="1"/>
      <c r="O158" s="6"/>
      <c r="P158" s="7">
        <f t="shared" si="12"/>
        <v>-979</v>
      </c>
      <c r="Q158" s="3"/>
    </row>
    <row r="159" spans="1:17">
      <c r="A159" s="1">
        <v>44788</v>
      </c>
      <c r="B159" s="2" t="s">
        <v>339</v>
      </c>
      <c r="C159" s="3" t="s">
        <v>28</v>
      </c>
      <c r="D159" s="4" t="s">
        <v>338</v>
      </c>
      <c r="E159" s="1"/>
      <c r="F159" s="5">
        <v>118</v>
      </c>
      <c r="G159" s="29"/>
      <c r="H159" s="29">
        <f t="shared" si="14"/>
        <v>11.799999999999999</v>
      </c>
      <c r="I159" s="5"/>
      <c r="J159" s="1">
        <v>44807</v>
      </c>
      <c r="K159" s="5">
        <v>0</v>
      </c>
      <c r="L159" s="5">
        <f t="shared" si="11"/>
        <v>0</v>
      </c>
      <c r="M159" s="5"/>
      <c r="N159" s="1"/>
      <c r="O159" s="6"/>
      <c r="P159" s="7">
        <f t="shared" si="12"/>
        <v>-129.80000000000001</v>
      </c>
      <c r="Q159" s="3" t="s">
        <v>453</v>
      </c>
    </row>
    <row r="160" spans="1:17">
      <c r="A160" s="1">
        <v>44788</v>
      </c>
      <c r="B160" s="2" t="s">
        <v>339</v>
      </c>
      <c r="C160" s="3" t="s">
        <v>28</v>
      </c>
      <c r="D160" s="4" t="s">
        <v>338</v>
      </c>
      <c r="E160" s="1"/>
      <c r="F160" s="5"/>
      <c r="G160" s="29"/>
      <c r="H160" s="29">
        <f t="shared" ref="H160" si="18">(F160/100)*10</f>
        <v>0</v>
      </c>
      <c r="I160" s="5"/>
      <c r="J160" s="1">
        <v>44826</v>
      </c>
      <c r="K160" s="5">
        <v>6.7</v>
      </c>
      <c r="L160" s="5">
        <f t="shared" ref="L160" si="19">K160*11</f>
        <v>73.7</v>
      </c>
      <c r="M160" s="5"/>
      <c r="N160" s="1"/>
      <c r="O160" s="6"/>
      <c r="P160" s="7">
        <f t="shared" ref="P160" si="20">M160-(F160+G160+H160+L160)</f>
        <v>-73.7</v>
      </c>
      <c r="Q160" s="3" t="s">
        <v>453</v>
      </c>
    </row>
    <row r="161" spans="1:17" ht="15" customHeight="1">
      <c r="A161" s="1">
        <v>44788</v>
      </c>
      <c r="B161" s="25" t="s">
        <v>340</v>
      </c>
      <c r="C161" s="3" t="s">
        <v>28</v>
      </c>
      <c r="D161" s="4" t="s">
        <v>343</v>
      </c>
      <c r="E161" s="1"/>
      <c r="F161" s="5">
        <f>103-19</f>
        <v>84</v>
      </c>
      <c r="G161" s="29"/>
      <c r="H161" s="29">
        <f t="shared" si="14"/>
        <v>8.4</v>
      </c>
      <c r="I161" s="5"/>
      <c r="J161" s="1">
        <v>44807</v>
      </c>
      <c r="K161" s="5">
        <v>0</v>
      </c>
      <c r="L161" s="5">
        <f t="shared" si="11"/>
        <v>0</v>
      </c>
      <c r="M161" s="5"/>
      <c r="N161" s="1"/>
      <c r="O161" s="6"/>
      <c r="P161" s="7">
        <f t="shared" si="12"/>
        <v>-92.4</v>
      </c>
      <c r="Q161" s="3"/>
    </row>
    <row r="162" spans="1:17">
      <c r="A162" s="1">
        <v>44791</v>
      </c>
      <c r="B162" s="25" t="s">
        <v>348</v>
      </c>
      <c r="C162" s="3" t="s">
        <v>119</v>
      </c>
      <c r="D162" s="4" t="s">
        <v>347</v>
      </c>
      <c r="E162" s="1"/>
      <c r="F162" s="5">
        <v>350.73</v>
      </c>
      <c r="G162" s="5"/>
      <c r="H162" s="29">
        <f t="shared" si="14"/>
        <v>35.073</v>
      </c>
      <c r="I162" s="5"/>
      <c r="J162" s="1">
        <v>44831</v>
      </c>
      <c r="K162" s="5">
        <v>5.0999999999999996</v>
      </c>
      <c r="L162" s="5">
        <f t="shared" si="11"/>
        <v>56.099999999999994</v>
      </c>
      <c r="M162" s="5">
        <v>390</v>
      </c>
      <c r="N162" s="1">
        <v>44793</v>
      </c>
      <c r="O162" s="6"/>
      <c r="P162" s="7">
        <f t="shared" si="12"/>
        <v>-51.90300000000002</v>
      </c>
      <c r="Q162" s="3"/>
    </row>
    <row r="163" spans="1:17" ht="15" customHeight="1">
      <c r="A163" s="1">
        <v>44790</v>
      </c>
      <c r="B163" s="25" t="s">
        <v>41</v>
      </c>
      <c r="C163" s="3" t="s">
        <v>145</v>
      </c>
      <c r="D163" s="4" t="s">
        <v>349</v>
      </c>
      <c r="E163" s="1"/>
      <c r="F163" s="5">
        <v>8.99</v>
      </c>
      <c r="G163" s="29"/>
      <c r="H163" s="29">
        <f t="shared" si="14"/>
        <v>0.89900000000000002</v>
      </c>
      <c r="I163" s="5"/>
      <c r="J163" s="1">
        <v>44807</v>
      </c>
      <c r="K163" s="5">
        <v>0.15</v>
      </c>
      <c r="L163" s="5">
        <f t="shared" si="11"/>
        <v>1.65</v>
      </c>
      <c r="M163" s="5">
        <f>2+4.17+8+1.72</f>
        <v>15.89</v>
      </c>
      <c r="N163" s="1">
        <v>44799</v>
      </c>
      <c r="O163" s="6"/>
      <c r="P163" s="7">
        <f t="shared" si="12"/>
        <v>4.3510000000000009</v>
      </c>
      <c r="Q163" s="3"/>
    </row>
    <row r="164" spans="1:17" ht="15" customHeight="1">
      <c r="A164" s="1">
        <v>44791</v>
      </c>
      <c r="B164" s="25" t="s">
        <v>70</v>
      </c>
      <c r="C164" s="3" t="s">
        <v>69</v>
      </c>
      <c r="D164" s="4" t="s">
        <v>350</v>
      </c>
      <c r="E164" s="1"/>
      <c r="F164" s="5">
        <v>32.979999999999997</v>
      </c>
      <c r="G164" s="29"/>
      <c r="H164" s="29">
        <f t="shared" si="14"/>
        <v>3.298</v>
      </c>
      <c r="I164" s="5"/>
      <c r="J164" s="1">
        <v>44807</v>
      </c>
      <c r="K164" s="5">
        <v>1.9</v>
      </c>
      <c r="L164" s="5">
        <f t="shared" si="11"/>
        <v>20.9</v>
      </c>
      <c r="M164" s="5"/>
      <c r="N164" s="1"/>
      <c r="O164" s="6"/>
      <c r="P164" s="7">
        <f t="shared" si="12"/>
        <v>-57.177999999999997</v>
      </c>
      <c r="Q164" s="3"/>
    </row>
    <row r="165" spans="1:17" ht="15" customHeight="1">
      <c r="A165" s="1">
        <v>44793</v>
      </c>
      <c r="B165" s="25" t="s">
        <v>33</v>
      </c>
      <c r="C165" s="3" t="s">
        <v>153</v>
      </c>
      <c r="D165" s="4" t="s">
        <v>351</v>
      </c>
      <c r="E165" s="1"/>
      <c r="F165" s="5">
        <v>58.9</v>
      </c>
      <c r="G165" s="29"/>
      <c r="H165" s="29">
        <f t="shared" si="14"/>
        <v>5.89</v>
      </c>
      <c r="I165" s="5"/>
      <c r="J165" s="1">
        <v>44807</v>
      </c>
      <c r="K165" s="5">
        <v>0.85</v>
      </c>
      <c r="L165" s="5">
        <f t="shared" si="11"/>
        <v>9.35</v>
      </c>
      <c r="M165" s="5">
        <v>10</v>
      </c>
      <c r="N165" s="1">
        <v>44809</v>
      </c>
      <c r="O165" s="6"/>
      <c r="P165" s="7">
        <f t="shared" si="12"/>
        <v>-64.139999999999986</v>
      </c>
      <c r="Q165" s="3"/>
    </row>
    <row r="166" spans="1:17" ht="15" customHeight="1">
      <c r="A166" s="1">
        <v>44792</v>
      </c>
      <c r="B166" s="25" t="s">
        <v>352</v>
      </c>
      <c r="C166" s="3" t="s">
        <v>28</v>
      </c>
      <c r="D166" s="4" t="s">
        <v>353</v>
      </c>
      <c r="E166" s="1"/>
      <c r="F166" s="5">
        <v>185.37</v>
      </c>
      <c r="G166" s="29"/>
      <c r="H166" s="29">
        <f t="shared" si="14"/>
        <v>18.537000000000003</v>
      </c>
      <c r="I166" s="5"/>
      <c r="J166" s="1">
        <v>44812</v>
      </c>
      <c r="K166" s="5">
        <v>0</v>
      </c>
      <c r="L166" s="5">
        <f t="shared" si="11"/>
        <v>0</v>
      </c>
      <c r="M166" s="5"/>
      <c r="N166" s="1"/>
      <c r="O166" s="6"/>
      <c r="P166" s="7">
        <f t="shared" si="12"/>
        <v>-203.90700000000001</v>
      </c>
      <c r="Q166" s="3"/>
    </row>
    <row r="167" spans="1:17" ht="15" customHeight="1">
      <c r="A167" s="1">
        <v>44792</v>
      </c>
      <c r="B167" s="25" t="s">
        <v>354</v>
      </c>
      <c r="C167" s="3" t="s">
        <v>28</v>
      </c>
      <c r="D167" s="34" t="s">
        <v>571</v>
      </c>
      <c r="E167" s="1"/>
      <c r="F167" s="5">
        <v>1213</v>
      </c>
      <c r="G167" s="5"/>
      <c r="H167" s="5">
        <f t="shared" si="14"/>
        <v>121.30000000000001</v>
      </c>
      <c r="I167" s="5"/>
      <c r="J167" s="1">
        <v>44834</v>
      </c>
      <c r="K167" s="5">
        <v>3.54</v>
      </c>
      <c r="L167" s="5">
        <f>K167*6.5</f>
        <v>23.01</v>
      </c>
      <c r="M167" s="5"/>
      <c r="N167" s="1"/>
      <c r="O167" s="6"/>
      <c r="P167" s="7">
        <f t="shared" si="12"/>
        <v>-1357.31</v>
      </c>
      <c r="Q167" s="3" t="s">
        <v>303</v>
      </c>
    </row>
    <row r="168" spans="1:17" ht="15" customHeight="1">
      <c r="A168" s="1">
        <v>44792</v>
      </c>
      <c r="B168" s="25" t="s">
        <v>354</v>
      </c>
      <c r="C168" s="3" t="s">
        <v>28</v>
      </c>
      <c r="D168" s="34" t="s">
        <v>571</v>
      </c>
      <c r="E168" s="1"/>
      <c r="F168" s="5"/>
      <c r="G168" s="5"/>
      <c r="H168" s="5">
        <f t="shared" ref="H168" si="21">(F168/100)*10</f>
        <v>0</v>
      </c>
      <c r="I168" s="5"/>
      <c r="J168" s="1">
        <v>44848</v>
      </c>
      <c r="K168" s="5">
        <v>6.9</v>
      </c>
      <c r="L168" s="5">
        <f>K168*6.5</f>
        <v>44.85</v>
      </c>
      <c r="M168" s="5"/>
      <c r="N168" s="1"/>
      <c r="O168" s="6"/>
      <c r="P168" s="7">
        <f t="shared" ref="P168" si="22">M168-(F168+G168+H168+L168)</f>
        <v>-44.85</v>
      </c>
      <c r="Q168" s="3" t="s">
        <v>303</v>
      </c>
    </row>
    <row r="169" spans="1:17">
      <c r="A169" s="1">
        <v>44792</v>
      </c>
      <c r="B169" s="25" t="s">
        <v>356</v>
      </c>
      <c r="C169" s="3" t="s">
        <v>28</v>
      </c>
      <c r="D169" s="4" t="s">
        <v>355</v>
      </c>
      <c r="E169" s="1"/>
      <c r="F169" s="5">
        <v>70</v>
      </c>
      <c r="G169" s="29"/>
      <c r="H169" s="29">
        <f t="shared" si="14"/>
        <v>7</v>
      </c>
      <c r="I169" s="5"/>
      <c r="J169" s="1">
        <v>44807</v>
      </c>
      <c r="K169" s="5">
        <v>0</v>
      </c>
      <c r="L169" s="5">
        <f t="shared" si="11"/>
        <v>0</v>
      </c>
      <c r="M169" s="5"/>
      <c r="N169" s="1"/>
      <c r="O169" s="6"/>
      <c r="P169" s="7">
        <f t="shared" si="12"/>
        <v>-77</v>
      </c>
      <c r="Q169" s="3"/>
    </row>
    <row r="170" spans="1:17" ht="15" customHeight="1">
      <c r="A170" s="1">
        <v>44792</v>
      </c>
      <c r="B170" s="25" t="s">
        <v>70</v>
      </c>
      <c r="C170" s="3" t="s">
        <v>166</v>
      </c>
      <c r="D170" s="4" t="s">
        <v>357</v>
      </c>
      <c r="E170" s="1"/>
      <c r="F170" s="5">
        <v>19.95</v>
      </c>
      <c r="G170" s="29"/>
      <c r="H170" s="29">
        <f t="shared" si="14"/>
        <v>1.9949999999999999</v>
      </c>
      <c r="I170" s="5"/>
      <c r="J170" s="1">
        <v>44807</v>
      </c>
      <c r="K170" s="5">
        <v>0.25</v>
      </c>
      <c r="L170" s="5">
        <f t="shared" si="11"/>
        <v>2.75</v>
      </c>
      <c r="M170" s="5">
        <v>25</v>
      </c>
      <c r="N170" s="1">
        <v>44809</v>
      </c>
      <c r="O170" s="6"/>
      <c r="P170" s="7">
        <f t="shared" si="12"/>
        <v>0.30499999999999972</v>
      </c>
      <c r="Q170" s="3"/>
    </row>
    <row r="171" spans="1:17">
      <c r="A171" s="1">
        <v>44793</v>
      </c>
      <c r="B171" s="25" t="s">
        <v>359</v>
      </c>
      <c r="C171" s="3" t="s">
        <v>44</v>
      </c>
      <c r="D171" s="4" t="s">
        <v>358</v>
      </c>
      <c r="E171" s="1"/>
      <c r="F171" s="5">
        <v>44.28</v>
      </c>
      <c r="G171" s="29"/>
      <c r="H171" s="29">
        <f t="shared" si="14"/>
        <v>4.4279999999999999</v>
      </c>
      <c r="I171" s="5"/>
      <c r="J171" s="1">
        <v>44812</v>
      </c>
      <c r="K171" s="5">
        <v>0.25</v>
      </c>
      <c r="L171" s="5">
        <f t="shared" si="11"/>
        <v>2.75</v>
      </c>
      <c r="M171" s="5">
        <v>100</v>
      </c>
      <c r="N171" s="1">
        <v>44837</v>
      </c>
      <c r="O171" s="6"/>
      <c r="P171" s="7">
        <f t="shared" si="12"/>
        <v>48.542000000000002</v>
      </c>
      <c r="Q171" s="3"/>
    </row>
    <row r="172" spans="1:17">
      <c r="A172" s="1">
        <v>44793</v>
      </c>
      <c r="B172" s="25" t="s">
        <v>361</v>
      </c>
      <c r="C172" s="3" t="s">
        <v>141</v>
      </c>
      <c r="D172" s="4" t="s">
        <v>360</v>
      </c>
      <c r="E172" s="1"/>
      <c r="F172" s="5">
        <v>253.33</v>
      </c>
      <c r="G172" s="29"/>
      <c r="H172" s="29">
        <f t="shared" si="14"/>
        <v>25.333000000000002</v>
      </c>
      <c r="I172" s="5"/>
      <c r="J172" s="1">
        <v>44812</v>
      </c>
      <c r="K172" s="5">
        <v>0.55000000000000004</v>
      </c>
      <c r="L172" s="5">
        <f t="shared" si="11"/>
        <v>6.0500000000000007</v>
      </c>
      <c r="M172" s="5">
        <f>280+4.68+2.2</f>
        <v>286.88</v>
      </c>
      <c r="N172" s="1">
        <v>44793</v>
      </c>
      <c r="O172" s="6"/>
      <c r="P172" s="7">
        <f t="shared" si="12"/>
        <v>2.1669999999999732</v>
      </c>
      <c r="Q172" s="3"/>
    </row>
    <row r="173" spans="1:17" ht="15" customHeight="1">
      <c r="A173" s="1">
        <v>44793</v>
      </c>
      <c r="B173" s="25" t="s">
        <v>362</v>
      </c>
      <c r="C173" s="3" t="s">
        <v>28</v>
      </c>
      <c r="D173" s="36" t="s">
        <v>365</v>
      </c>
      <c r="E173" s="1"/>
      <c r="F173" s="5">
        <v>376</v>
      </c>
      <c r="G173" s="29"/>
      <c r="H173" s="29">
        <f t="shared" si="14"/>
        <v>37.599999999999994</v>
      </c>
      <c r="I173" s="5"/>
      <c r="J173" s="1">
        <v>44807</v>
      </c>
      <c r="K173" s="5">
        <v>0</v>
      </c>
      <c r="L173" s="5">
        <f t="shared" si="11"/>
        <v>0</v>
      </c>
      <c r="M173" s="5"/>
      <c r="N173" s="1"/>
      <c r="O173" s="6"/>
      <c r="P173" s="7">
        <f t="shared" si="12"/>
        <v>-413.6</v>
      </c>
      <c r="Q173" s="3"/>
    </row>
    <row r="174" spans="1:17" ht="15" customHeight="1">
      <c r="A174" s="1">
        <v>44793</v>
      </c>
      <c r="B174" s="2" t="s">
        <v>364</v>
      </c>
      <c r="C174" s="3" t="s">
        <v>28</v>
      </c>
      <c r="D174" s="35" t="s">
        <v>363</v>
      </c>
      <c r="E174" s="1"/>
      <c r="F174" s="5">
        <v>0</v>
      </c>
      <c r="G174" s="5"/>
      <c r="H174" s="5">
        <f t="shared" si="14"/>
        <v>0</v>
      </c>
      <c r="I174" s="5"/>
      <c r="J174" s="1"/>
      <c r="K174" s="5"/>
      <c r="L174" s="5">
        <f t="shared" si="11"/>
        <v>0</v>
      </c>
      <c r="M174" s="5"/>
      <c r="N174" s="1"/>
      <c r="O174" s="6"/>
      <c r="P174" s="7">
        <f t="shared" si="12"/>
        <v>0</v>
      </c>
      <c r="Q174" s="3"/>
    </row>
    <row r="175" spans="1:17" ht="15" customHeight="1">
      <c r="A175" s="1">
        <v>44793</v>
      </c>
      <c r="B175" s="41" t="s">
        <v>99</v>
      </c>
      <c r="C175" s="3" t="s">
        <v>28</v>
      </c>
      <c r="D175" s="36" t="s">
        <v>366</v>
      </c>
      <c r="E175" s="1"/>
      <c r="F175" s="5">
        <v>660</v>
      </c>
      <c r="G175" s="29"/>
      <c r="H175" s="29">
        <f t="shared" si="14"/>
        <v>66</v>
      </c>
      <c r="I175" s="5"/>
      <c r="J175" s="1">
        <v>44807</v>
      </c>
      <c r="K175" s="5">
        <v>0</v>
      </c>
      <c r="L175" s="5">
        <f t="shared" si="11"/>
        <v>0</v>
      </c>
      <c r="M175" s="5"/>
      <c r="N175" s="1"/>
      <c r="O175" s="6"/>
      <c r="P175" s="7">
        <f t="shared" si="12"/>
        <v>-726</v>
      </c>
      <c r="Q175" s="3" t="s">
        <v>456</v>
      </c>
    </row>
    <row r="176" spans="1:17" ht="15" customHeight="1">
      <c r="A176" s="1">
        <v>44793</v>
      </c>
      <c r="B176" s="41" t="s">
        <v>99</v>
      </c>
      <c r="C176" s="3" t="s">
        <v>28</v>
      </c>
      <c r="D176" s="36" t="s">
        <v>366</v>
      </c>
      <c r="E176" s="1"/>
      <c r="F176" s="5"/>
      <c r="G176" s="29"/>
      <c r="H176" s="29">
        <f t="shared" si="14"/>
        <v>0</v>
      </c>
      <c r="I176" s="5"/>
      <c r="J176" s="1">
        <v>44812</v>
      </c>
      <c r="K176" s="5">
        <v>0</v>
      </c>
      <c r="L176" s="5">
        <f t="shared" si="11"/>
        <v>0</v>
      </c>
      <c r="M176" s="5"/>
      <c r="N176" s="1"/>
      <c r="O176" s="6"/>
      <c r="P176" s="7">
        <f t="shared" si="12"/>
        <v>0</v>
      </c>
      <c r="Q176" s="3">
        <v>2</v>
      </c>
    </row>
    <row r="177" spans="1:17">
      <c r="A177" s="1">
        <v>44793</v>
      </c>
      <c r="B177" s="25" t="s">
        <v>99</v>
      </c>
      <c r="C177" s="3" t="s">
        <v>28</v>
      </c>
      <c r="D177" s="4" t="s">
        <v>367</v>
      </c>
      <c r="E177" s="1"/>
      <c r="F177" s="5">
        <v>396</v>
      </c>
      <c r="G177" s="29"/>
      <c r="H177" s="29">
        <f t="shared" si="14"/>
        <v>39.6</v>
      </c>
      <c r="I177" s="5"/>
      <c r="J177" s="1">
        <v>44807</v>
      </c>
      <c r="K177" s="5">
        <v>0</v>
      </c>
      <c r="L177" s="5">
        <f t="shared" si="11"/>
        <v>0</v>
      </c>
      <c r="M177" s="5"/>
      <c r="N177" s="1"/>
      <c r="O177" s="6"/>
      <c r="P177" s="7">
        <f t="shared" si="12"/>
        <v>-435.6</v>
      </c>
      <c r="Q177" s="3"/>
    </row>
    <row r="178" spans="1:17">
      <c r="A178" s="1">
        <v>44794</v>
      </c>
      <c r="B178" s="25" t="s">
        <v>370</v>
      </c>
      <c r="C178" s="3" t="s">
        <v>39</v>
      </c>
      <c r="D178" s="4" t="s">
        <v>369</v>
      </c>
      <c r="E178" s="1"/>
      <c r="F178" s="5">
        <v>81.5</v>
      </c>
      <c r="G178" s="29"/>
      <c r="H178" s="29">
        <f t="shared" si="14"/>
        <v>8.1499999999999986</v>
      </c>
      <c r="I178" s="5"/>
      <c r="J178" s="1">
        <v>44812</v>
      </c>
      <c r="K178" s="5">
        <v>2.1</v>
      </c>
      <c r="L178" s="5">
        <f t="shared" si="11"/>
        <v>23.1</v>
      </c>
      <c r="M178" s="5">
        <v>200</v>
      </c>
      <c r="N178" s="1">
        <v>44800</v>
      </c>
      <c r="O178" s="6"/>
      <c r="P178" s="7">
        <f t="shared" si="12"/>
        <v>87.25</v>
      </c>
      <c r="Q178" s="3"/>
    </row>
    <row r="179" spans="1:17" ht="15" customHeight="1">
      <c r="A179" s="1">
        <v>44794</v>
      </c>
      <c r="B179" s="25" t="s">
        <v>70</v>
      </c>
      <c r="C179" s="3" t="s">
        <v>69</v>
      </c>
      <c r="D179" s="4" t="s">
        <v>371</v>
      </c>
      <c r="E179" s="1"/>
      <c r="F179" s="5">
        <v>22.78</v>
      </c>
      <c r="G179" s="29"/>
      <c r="H179" s="29">
        <f t="shared" si="14"/>
        <v>2.278</v>
      </c>
      <c r="I179" s="5"/>
      <c r="J179" s="1">
        <v>44807</v>
      </c>
      <c r="K179" s="5">
        <v>0</v>
      </c>
      <c r="L179" s="5">
        <f t="shared" si="11"/>
        <v>0</v>
      </c>
      <c r="M179" s="5"/>
      <c r="N179" s="1"/>
      <c r="O179" s="6"/>
      <c r="P179" s="7">
        <f t="shared" si="12"/>
        <v>-25.058</v>
      </c>
      <c r="Q179" s="3"/>
    </row>
    <row r="180" spans="1:17">
      <c r="A180" s="1">
        <v>44794</v>
      </c>
      <c r="B180" s="25" t="s">
        <v>373</v>
      </c>
      <c r="C180" s="3" t="s">
        <v>294</v>
      </c>
      <c r="D180" s="37" t="s">
        <v>372</v>
      </c>
      <c r="E180" s="1"/>
      <c r="F180" s="5">
        <v>80.930000000000007</v>
      </c>
      <c r="G180" s="29"/>
      <c r="H180" s="29">
        <f t="shared" si="14"/>
        <v>8.093</v>
      </c>
      <c r="I180" s="5"/>
      <c r="J180" s="1">
        <v>44807</v>
      </c>
      <c r="K180" s="5">
        <v>0.15</v>
      </c>
      <c r="L180" s="5">
        <f t="shared" si="11"/>
        <v>1.65</v>
      </c>
      <c r="M180" s="5">
        <v>89</v>
      </c>
      <c r="N180" s="1">
        <v>44798</v>
      </c>
      <c r="O180" s="6"/>
      <c r="P180" s="7">
        <f t="shared" si="12"/>
        <v>-1.673000000000016</v>
      </c>
      <c r="Q180" s="3" t="s">
        <v>454</v>
      </c>
    </row>
    <row r="181" spans="1:17">
      <c r="A181" s="1">
        <v>44794</v>
      </c>
      <c r="B181" s="25" t="s">
        <v>373</v>
      </c>
      <c r="C181" s="3" t="s">
        <v>294</v>
      </c>
      <c r="D181" s="37" t="s">
        <v>372</v>
      </c>
      <c r="E181" s="1"/>
      <c r="F181" s="5"/>
      <c r="G181" s="29"/>
      <c r="H181" s="29">
        <f t="shared" si="14"/>
        <v>0</v>
      </c>
      <c r="I181" s="5"/>
      <c r="J181" s="1">
        <v>44812</v>
      </c>
      <c r="K181" s="5">
        <v>1.9</v>
      </c>
      <c r="L181" s="5">
        <f t="shared" si="11"/>
        <v>20.9</v>
      </c>
      <c r="M181" s="5">
        <v>22</v>
      </c>
      <c r="N181" s="1">
        <v>44814</v>
      </c>
      <c r="O181" s="6"/>
      <c r="P181" s="7">
        <f t="shared" si="12"/>
        <v>1.1000000000000014</v>
      </c>
      <c r="Q181" s="3">
        <v>3</v>
      </c>
    </row>
    <row r="182" spans="1:17">
      <c r="A182" s="1">
        <v>44795</v>
      </c>
      <c r="B182" s="25" t="s">
        <v>152</v>
      </c>
      <c r="C182" s="3" t="s">
        <v>69</v>
      </c>
      <c r="D182" s="4" t="s">
        <v>374</v>
      </c>
      <c r="E182" s="1"/>
      <c r="F182" s="5">
        <v>141.96</v>
      </c>
      <c r="G182" s="29"/>
      <c r="H182" s="29">
        <f t="shared" si="14"/>
        <v>14.196</v>
      </c>
      <c r="I182" s="5"/>
      <c r="J182" s="1">
        <v>44807</v>
      </c>
      <c r="K182" s="5">
        <v>0</v>
      </c>
      <c r="L182" s="5">
        <f t="shared" si="11"/>
        <v>0</v>
      </c>
      <c r="M182" s="5"/>
      <c r="N182" s="1"/>
      <c r="O182" s="6"/>
      <c r="P182" s="7">
        <f t="shared" si="12"/>
        <v>-156.15600000000001</v>
      </c>
      <c r="Q182" s="3"/>
    </row>
    <row r="183" spans="1:17" ht="15" customHeight="1">
      <c r="A183" s="1">
        <v>44793</v>
      </c>
      <c r="B183" s="25" t="s">
        <v>376</v>
      </c>
      <c r="C183" s="3" t="s">
        <v>28</v>
      </c>
      <c r="D183" s="4" t="s">
        <v>375</v>
      </c>
      <c r="E183" s="1"/>
      <c r="F183" s="5">
        <v>166</v>
      </c>
      <c r="G183" s="29">
        <f>(F183/100)*4</f>
        <v>6.64</v>
      </c>
      <c r="H183" s="29">
        <f t="shared" si="14"/>
        <v>16.599999999999998</v>
      </c>
      <c r="I183" s="5"/>
      <c r="J183" s="1">
        <v>44812</v>
      </c>
      <c r="K183" s="5">
        <v>0</v>
      </c>
      <c r="L183" s="5">
        <f t="shared" si="11"/>
        <v>0</v>
      </c>
      <c r="M183" s="5"/>
      <c r="N183" s="1"/>
      <c r="O183" s="6"/>
      <c r="P183" s="7">
        <f t="shared" si="12"/>
        <v>-189.23999999999998</v>
      </c>
      <c r="Q183" s="3"/>
    </row>
    <row r="184" spans="1:17">
      <c r="A184" s="1">
        <v>44795</v>
      </c>
      <c r="B184" s="25" t="s">
        <v>378</v>
      </c>
      <c r="C184" s="3" t="s">
        <v>28</v>
      </c>
      <c r="D184" s="4" t="s">
        <v>377</v>
      </c>
      <c r="E184" s="1"/>
      <c r="F184" s="5">
        <v>360.63</v>
      </c>
      <c r="G184" s="29"/>
      <c r="H184" s="29">
        <f t="shared" si="14"/>
        <v>36.063000000000002</v>
      </c>
      <c r="I184" s="5"/>
      <c r="J184" s="1">
        <v>44812</v>
      </c>
      <c r="K184" s="5">
        <v>0</v>
      </c>
      <c r="L184" s="5">
        <f t="shared" si="11"/>
        <v>0</v>
      </c>
      <c r="M184" s="5"/>
      <c r="N184" s="1"/>
      <c r="O184" s="6"/>
      <c r="P184" s="7">
        <f t="shared" si="12"/>
        <v>-396.69299999999998</v>
      </c>
      <c r="Q184" s="3"/>
    </row>
    <row r="185" spans="1:17">
      <c r="A185" s="38">
        <v>44795</v>
      </c>
      <c r="B185" s="39" t="s">
        <v>380</v>
      </c>
      <c r="C185" s="40" t="s">
        <v>28</v>
      </c>
      <c r="D185" s="27" t="s">
        <v>379</v>
      </c>
      <c r="E185" s="1"/>
      <c r="F185" s="5"/>
      <c r="G185" s="5"/>
      <c r="H185" s="5">
        <f t="shared" si="14"/>
        <v>0</v>
      </c>
      <c r="I185" s="5"/>
      <c r="J185" s="1"/>
      <c r="K185" s="5"/>
      <c r="L185" s="5">
        <f t="shared" si="11"/>
        <v>0</v>
      </c>
      <c r="M185" s="5"/>
      <c r="N185" s="1"/>
      <c r="O185" s="6"/>
      <c r="P185" s="7">
        <f t="shared" si="12"/>
        <v>0</v>
      </c>
      <c r="Q185" s="3"/>
    </row>
    <row r="186" spans="1:17" ht="30">
      <c r="A186" s="1">
        <v>44795</v>
      </c>
      <c r="B186" s="25" t="s">
        <v>382</v>
      </c>
      <c r="C186" s="3" t="s">
        <v>28</v>
      </c>
      <c r="D186" s="4" t="s">
        <v>381</v>
      </c>
      <c r="E186" s="1"/>
      <c r="F186" s="5">
        <v>75.81</v>
      </c>
      <c r="G186" s="29"/>
      <c r="H186" s="29">
        <f t="shared" si="14"/>
        <v>7.5809999999999995</v>
      </c>
      <c r="I186" s="5"/>
      <c r="J186" s="1">
        <v>44812</v>
      </c>
      <c r="K186" s="5">
        <v>0</v>
      </c>
      <c r="L186" s="5">
        <f t="shared" si="11"/>
        <v>0</v>
      </c>
      <c r="M186" s="5"/>
      <c r="N186" s="1"/>
      <c r="O186" s="6"/>
      <c r="P186" s="7">
        <f t="shared" si="12"/>
        <v>-83.391000000000005</v>
      </c>
      <c r="Q186" s="3"/>
    </row>
    <row r="187" spans="1:17">
      <c r="A187" s="1">
        <v>44795</v>
      </c>
      <c r="B187" s="25" t="s">
        <v>384</v>
      </c>
      <c r="C187" s="3" t="s">
        <v>28</v>
      </c>
      <c r="D187" s="4" t="s">
        <v>383</v>
      </c>
      <c r="E187" s="1"/>
      <c r="F187" s="5">
        <v>1125</v>
      </c>
      <c r="G187" s="29"/>
      <c r="H187" s="29">
        <f t="shared" si="14"/>
        <v>112.5</v>
      </c>
      <c r="I187" s="5"/>
      <c r="J187" s="1">
        <v>44812</v>
      </c>
      <c r="K187" s="5">
        <v>0</v>
      </c>
      <c r="L187" s="5">
        <f t="shared" si="11"/>
        <v>0</v>
      </c>
      <c r="M187" s="5"/>
      <c r="N187" s="1"/>
      <c r="O187" s="6"/>
      <c r="P187" s="7">
        <f t="shared" si="12"/>
        <v>-1237.5</v>
      </c>
      <c r="Q187" s="3"/>
    </row>
    <row r="188" spans="1:17">
      <c r="A188" s="1">
        <v>44795</v>
      </c>
      <c r="B188" s="25" t="s">
        <v>197</v>
      </c>
      <c r="C188" s="3" t="s">
        <v>126</v>
      </c>
      <c r="D188" s="4" t="s">
        <v>386</v>
      </c>
      <c r="E188" s="1"/>
      <c r="F188" s="5">
        <v>104.65</v>
      </c>
      <c r="G188" s="29"/>
      <c r="H188" s="29">
        <f t="shared" ref="H188:H205" si="23">(F188/100)*10</f>
        <v>10.465</v>
      </c>
      <c r="I188" s="5"/>
      <c r="J188" s="1">
        <v>44812</v>
      </c>
      <c r="K188" s="5">
        <v>1.3</v>
      </c>
      <c r="L188" s="5">
        <f t="shared" si="11"/>
        <v>14.3</v>
      </c>
      <c r="M188" s="5">
        <v>115.11</v>
      </c>
      <c r="N188" s="1">
        <v>44796</v>
      </c>
      <c r="O188" s="6"/>
      <c r="P188" s="7">
        <f t="shared" si="12"/>
        <v>-14.305000000000021</v>
      </c>
      <c r="Q188" s="3"/>
    </row>
    <row r="189" spans="1:17">
      <c r="A189" s="1">
        <v>44796</v>
      </c>
      <c r="B189" s="25" t="s">
        <v>388</v>
      </c>
      <c r="C189" s="3" t="s">
        <v>28</v>
      </c>
      <c r="D189" s="4" t="s">
        <v>387</v>
      </c>
      <c r="E189" s="1"/>
      <c r="F189" s="5">
        <v>417</v>
      </c>
      <c r="G189" s="29"/>
      <c r="H189" s="29">
        <f t="shared" si="23"/>
        <v>41.7</v>
      </c>
      <c r="I189" s="29">
        <v>88</v>
      </c>
      <c r="J189" s="1">
        <v>44807</v>
      </c>
      <c r="K189" s="5">
        <v>0</v>
      </c>
      <c r="L189" s="5">
        <f t="shared" si="11"/>
        <v>0</v>
      </c>
      <c r="M189" s="5"/>
      <c r="N189" s="1"/>
      <c r="O189" s="6"/>
      <c r="P189" s="7">
        <f t="shared" si="12"/>
        <v>-458.7</v>
      </c>
      <c r="Q189" s="3"/>
    </row>
    <row r="190" spans="1:17">
      <c r="A190" s="1">
        <v>44796</v>
      </c>
      <c r="B190" s="25" t="s">
        <v>390</v>
      </c>
      <c r="C190" s="3" t="s">
        <v>28</v>
      </c>
      <c r="D190" s="4" t="s">
        <v>389</v>
      </c>
      <c r="E190" s="1"/>
      <c r="F190" s="5">
        <v>140</v>
      </c>
      <c r="G190" s="29"/>
      <c r="H190" s="29">
        <f t="shared" si="23"/>
        <v>14</v>
      </c>
      <c r="I190" s="29"/>
      <c r="J190" s="1">
        <v>44807</v>
      </c>
      <c r="K190" s="5">
        <v>0</v>
      </c>
      <c r="L190" s="5">
        <f t="shared" si="11"/>
        <v>0</v>
      </c>
      <c r="M190" s="5"/>
      <c r="N190" s="1"/>
      <c r="O190" s="6"/>
      <c r="P190" s="7">
        <f t="shared" si="12"/>
        <v>-154</v>
      </c>
      <c r="Q190" s="3"/>
    </row>
    <row r="191" spans="1:17" ht="15" customHeight="1">
      <c r="A191" s="1">
        <v>44796</v>
      </c>
      <c r="B191" s="25" t="s">
        <v>336</v>
      </c>
      <c r="C191" s="3" t="s">
        <v>28</v>
      </c>
      <c r="D191" s="4" t="s">
        <v>391</v>
      </c>
      <c r="E191" s="1"/>
      <c r="F191" s="5">
        <v>485</v>
      </c>
      <c r="G191" s="29"/>
      <c r="H191" s="29">
        <f t="shared" si="23"/>
        <v>48.5</v>
      </c>
      <c r="I191" s="29"/>
      <c r="J191" s="1">
        <v>44807</v>
      </c>
      <c r="K191" s="5">
        <v>0</v>
      </c>
      <c r="L191" s="5">
        <f t="shared" si="11"/>
        <v>0</v>
      </c>
      <c r="M191" s="5"/>
      <c r="N191" s="1"/>
      <c r="O191" s="6"/>
      <c r="P191" s="7">
        <f t="shared" si="12"/>
        <v>-533.5</v>
      </c>
      <c r="Q191" s="3"/>
    </row>
    <row r="192" spans="1:17">
      <c r="A192" s="1">
        <v>44796</v>
      </c>
      <c r="B192" s="25" t="s">
        <v>390</v>
      </c>
      <c r="C192" s="3" t="s">
        <v>28</v>
      </c>
      <c r="D192" s="4" t="s">
        <v>392</v>
      </c>
      <c r="E192" s="1"/>
      <c r="F192" s="5">
        <v>32</v>
      </c>
      <c r="G192" s="5"/>
      <c r="H192" s="29">
        <f t="shared" si="23"/>
        <v>3.2</v>
      </c>
      <c r="I192" s="5"/>
      <c r="J192" s="1">
        <v>44823</v>
      </c>
      <c r="K192" s="5">
        <v>2</v>
      </c>
      <c r="L192" s="5">
        <f t="shared" si="11"/>
        <v>22</v>
      </c>
      <c r="M192" s="5"/>
      <c r="N192" s="1"/>
      <c r="O192" s="6"/>
      <c r="P192" s="7">
        <f t="shared" si="12"/>
        <v>-57.2</v>
      </c>
      <c r="Q192" s="3"/>
    </row>
    <row r="193" spans="1:17" ht="15" customHeight="1">
      <c r="A193" s="1">
        <v>44796</v>
      </c>
      <c r="B193" s="25" t="s">
        <v>99</v>
      </c>
      <c r="C193" s="3" t="s">
        <v>28</v>
      </c>
      <c r="D193" s="4" t="s">
        <v>409</v>
      </c>
      <c r="E193" s="1"/>
      <c r="F193" s="5">
        <v>968</v>
      </c>
      <c r="G193" s="29"/>
      <c r="H193" s="29">
        <f t="shared" si="23"/>
        <v>96.8</v>
      </c>
      <c r="I193" s="29">
        <v>48</v>
      </c>
      <c r="J193" s="1">
        <v>44812</v>
      </c>
      <c r="K193" s="5">
        <v>0</v>
      </c>
      <c r="L193" s="5">
        <f t="shared" si="11"/>
        <v>0</v>
      </c>
      <c r="M193" s="5"/>
      <c r="N193" s="1"/>
      <c r="O193" s="6"/>
      <c r="P193" s="7">
        <f t="shared" si="12"/>
        <v>-1064.8</v>
      </c>
      <c r="Q193" s="3"/>
    </row>
    <row r="194" spans="1:17">
      <c r="A194" s="1">
        <v>44796</v>
      </c>
      <c r="B194" s="25" t="s">
        <v>99</v>
      </c>
      <c r="C194" s="3" t="s">
        <v>28</v>
      </c>
      <c r="D194" s="4" t="s">
        <v>393</v>
      </c>
      <c r="E194" s="1"/>
      <c r="F194" s="5">
        <v>375</v>
      </c>
      <c r="G194" s="29"/>
      <c r="H194" s="29">
        <f t="shared" si="23"/>
        <v>37.5</v>
      </c>
      <c r="I194" s="5"/>
      <c r="J194" s="1">
        <v>44807</v>
      </c>
      <c r="K194" s="5">
        <v>0</v>
      </c>
      <c r="L194" s="5">
        <f t="shared" si="11"/>
        <v>0</v>
      </c>
      <c r="M194" s="5"/>
      <c r="N194" s="1"/>
      <c r="O194" s="6"/>
      <c r="P194" s="7">
        <f t="shared" si="12"/>
        <v>-412.5</v>
      </c>
      <c r="Q194" s="3"/>
    </row>
    <row r="195" spans="1:17">
      <c r="A195" s="1">
        <v>44796</v>
      </c>
      <c r="B195" s="25" t="s">
        <v>395</v>
      </c>
      <c r="C195" s="3" t="s">
        <v>28</v>
      </c>
      <c r="D195" s="4" t="s">
        <v>394</v>
      </c>
      <c r="E195" s="1"/>
      <c r="F195" s="5">
        <v>110</v>
      </c>
      <c r="G195" s="29"/>
      <c r="H195" s="29">
        <f t="shared" si="23"/>
        <v>11</v>
      </c>
      <c r="I195" s="5"/>
      <c r="J195" s="1">
        <v>44807</v>
      </c>
      <c r="K195" s="5">
        <v>0</v>
      </c>
      <c r="L195" s="5">
        <f t="shared" si="11"/>
        <v>0</v>
      </c>
      <c r="M195" s="5"/>
      <c r="N195" s="1"/>
      <c r="O195" s="6"/>
      <c r="P195" s="7">
        <f t="shared" si="12"/>
        <v>-121</v>
      </c>
      <c r="Q195" s="3"/>
    </row>
    <row r="196" spans="1:17">
      <c r="A196" s="1">
        <v>44796</v>
      </c>
      <c r="B196" s="25" t="s">
        <v>378</v>
      </c>
      <c r="C196" s="3" t="s">
        <v>28</v>
      </c>
      <c r="D196" s="4" t="s">
        <v>396</v>
      </c>
      <c r="E196" s="1"/>
      <c r="F196" s="5">
        <v>62.82</v>
      </c>
      <c r="G196" s="5"/>
      <c r="H196" s="29">
        <f t="shared" si="23"/>
        <v>6.282</v>
      </c>
      <c r="I196" s="5"/>
      <c r="J196" s="1">
        <v>44826</v>
      </c>
      <c r="K196" s="5">
        <v>0</v>
      </c>
      <c r="L196" s="5">
        <f t="shared" si="11"/>
        <v>0</v>
      </c>
      <c r="M196" s="5"/>
      <c r="N196" s="1"/>
      <c r="O196" s="6"/>
      <c r="P196" s="7">
        <f t="shared" si="12"/>
        <v>-69.102000000000004</v>
      </c>
      <c r="Q196" s="3"/>
    </row>
    <row r="197" spans="1:17">
      <c r="A197" s="1">
        <v>44796</v>
      </c>
      <c r="B197" s="41" t="s">
        <v>99</v>
      </c>
      <c r="C197" s="3" t="s">
        <v>28</v>
      </c>
      <c r="D197" s="4" t="s">
        <v>397</v>
      </c>
      <c r="E197" s="1"/>
      <c r="F197" s="5">
        <v>348</v>
      </c>
      <c r="G197" s="29"/>
      <c r="H197" s="29">
        <f t="shared" si="23"/>
        <v>34.799999999999997</v>
      </c>
      <c r="I197" s="5"/>
      <c r="J197" s="1">
        <v>44807</v>
      </c>
      <c r="K197" s="5">
        <v>0</v>
      </c>
      <c r="L197" s="5">
        <f t="shared" si="11"/>
        <v>0</v>
      </c>
      <c r="M197" s="5"/>
      <c r="N197" s="1"/>
      <c r="O197" s="6"/>
      <c r="P197" s="7">
        <f t="shared" si="12"/>
        <v>-382.8</v>
      </c>
      <c r="Q197" s="3"/>
    </row>
    <row r="198" spans="1:17">
      <c r="A198" s="1">
        <v>44797</v>
      </c>
      <c r="B198" s="25" t="s">
        <v>406</v>
      </c>
      <c r="C198" s="3" t="s">
        <v>39</v>
      </c>
      <c r="D198" s="4" t="s">
        <v>405</v>
      </c>
      <c r="E198" s="1"/>
      <c r="F198" s="5">
        <v>114</v>
      </c>
      <c r="G198" s="29"/>
      <c r="H198" s="29">
        <f t="shared" si="23"/>
        <v>11.399999999999999</v>
      </c>
      <c r="I198" s="5"/>
      <c r="J198" s="1">
        <v>44812</v>
      </c>
      <c r="K198" s="5">
        <v>0</v>
      </c>
      <c r="L198" s="5">
        <f t="shared" ref="L198:L234" si="24">K198*11</f>
        <v>0</v>
      </c>
      <c r="M198" s="5">
        <v>100</v>
      </c>
      <c r="N198" s="1">
        <v>44814</v>
      </c>
      <c r="O198" s="6"/>
      <c r="P198" s="7">
        <f t="shared" ref="P198:P234" si="25">M198-(F198+G198+H198+L198)</f>
        <v>-25.400000000000006</v>
      </c>
      <c r="Q198" s="3"/>
    </row>
    <row r="199" spans="1:17">
      <c r="A199" s="1">
        <v>44797</v>
      </c>
      <c r="B199" s="25" t="s">
        <v>380</v>
      </c>
      <c r="C199" s="3" t="s">
        <v>28</v>
      </c>
      <c r="D199" s="4" t="s">
        <v>407</v>
      </c>
      <c r="E199" s="1"/>
      <c r="F199" s="5">
        <v>69</v>
      </c>
      <c r="G199" s="5"/>
      <c r="H199" s="29">
        <f t="shared" si="23"/>
        <v>6.8999999999999995</v>
      </c>
      <c r="I199" s="5"/>
      <c r="J199" s="1">
        <v>44823</v>
      </c>
      <c r="K199" s="5">
        <v>0</v>
      </c>
      <c r="L199" s="5">
        <f t="shared" si="24"/>
        <v>0</v>
      </c>
      <c r="M199" s="5"/>
      <c r="N199" s="1"/>
      <c r="O199" s="6"/>
      <c r="P199" s="7">
        <f t="shared" si="25"/>
        <v>-75.900000000000006</v>
      </c>
      <c r="Q199" s="3"/>
    </row>
    <row r="200" spans="1:17">
      <c r="A200" s="1">
        <v>44797</v>
      </c>
      <c r="B200" s="25" t="s">
        <v>291</v>
      </c>
      <c r="C200" s="3" t="s">
        <v>44</v>
      </c>
      <c r="D200" s="4" t="s">
        <v>408</v>
      </c>
      <c r="E200" s="1"/>
      <c r="F200" s="5">
        <v>80</v>
      </c>
      <c r="G200" s="5"/>
      <c r="H200" s="29">
        <f t="shared" si="23"/>
        <v>8</v>
      </c>
      <c r="I200" s="5"/>
      <c r="J200" s="1">
        <v>44823</v>
      </c>
      <c r="K200" s="5">
        <v>1.5</v>
      </c>
      <c r="L200" s="5">
        <f t="shared" si="24"/>
        <v>16.5</v>
      </c>
      <c r="M200" s="5">
        <v>200</v>
      </c>
      <c r="N200" s="1">
        <v>44856</v>
      </c>
      <c r="O200" s="6"/>
      <c r="P200" s="7">
        <f t="shared" si="25"/>
        <v>95.5</v>
      </c>
      <c r="Q200" s="3"/>
    </row>
    <row r="201" spans="1:17">
      <c r="A201" s="1">
        <v>44797</v>
      </c>
      <c r="B201" s="25" t="s">
        <v>291</v>
      </c>
      <c r="C201" s="3" t="s">
        <v>44</v>
      </c>
      <c r="D201" s="4" t="s">
        <v>410</v>
      </c>
      <c r="E201" s="1"/>
      <c r="F201" s="5">
        <v>70.13</v>
      </c>
      <c r="G201" s="5"/>
      <c r="H201" s="29">
        <f t="shared" si="23"/>
        <v>7.012999999999999</v>
      </c>
      <c r="I201" s="5"/>
      <c r="J201" s="1">
        <v>44823</v>
      </c>
      <c r="K201" s="5">
        <v>0</v>
      </c>
      <c r="L201" s="5">
        <f t="shared" si="24"/>
        <v>0</v>
      </c>
      <c r="M201" s="5"/>
      <c r="N201" s="1"/>
      <c r="O201" s="6"/>
      <c r="P201" s="7">
        <f t="shared" si="25"/>
        <v>-77.143000000000001</v>
      </c>
      <c r="Q201" s="3"/>
    </row>
    <row r="202" spans="1:17">
      <c r="A202" s="1">
        <v>44798</v>
      </c>
      <c r="B202" s="25" t="s">
        <v>63</v>
      </c>
      <c r="C202" s="3" t="s">
        <v>412</v>
      </c>
      <c r="D202" s="4" t="s">
        <v>411</v>
      </c>
      <c r="E202" s="1"/>
      <c r="F202" s="5">
        <v>104</v>
      </c>
      <c r="G202" s="29"/>
      <c r="H202" s="29">
        <f t="shared" si="23"/>
        <v>10.4</v>
      </c>
      <c r="I202" s="5"/>
      <c r="J202" s="1">
        <v>44812</v>
      </c>
      <c r="K202" s="5">
        <v>0.85</v>
      </c>
      <c r="L202" s="5">
        <f t="shared" si="24"/>
        <v>9.35</v>
      </c>
      <c r="M202" s="5">
        <v>123.75</v>
      </c>
      <c r="N202" s="1">
        <v>44814</v>
      </c>
      <c r="O202" s="6"/>
      <c r="P202" s="7">
        <f t="shared" si="25"/>
        <v>0</v>
      </c>
      <c r="Q202" s="3"/>
    </row>
    <row r="203" spans="1:17" ht="15" customHeight="1">
      <c r="A203" s="1">
        <v>44798</v>
      </c>
      <c r="B203" s="25" t="s">
        <v>413</v>
      </c>
      <c r="C203" s="3" t="s">
        <v>28</v>
      </c>
      <c r="D203" s="42" t="s">
        <v>421</v>
      </c>
      <c r="E203" s="1"/>
      <c r="F203" s="5">
        <v>851</v>
      </c>
      <c r="G203" s="5"/>
      <c r="H203" s="29">
        <f t="shared" si="23"/>
        <v>85.1</v>
      </c>
      <c r="I203" s="5"/>
      <c r="J203" s="1">
        <v>44826</v>
      </c>
      <c r="K203" s="5">
        <v>0</v>
      </c>
      <c r="L203" s="5">
        <f t="shared" si="24"/>
        <v>0</v>
      </c>
      <c r="M203" s="5"/>
      <c r="N203" s="1"/>
      <c r="O203" s="6"/>
      <c r="P203" s="7">
        <f t="shared" si="25"/>
        <v>-936.1</v>
      </c>
      <c r="Q203" s="3"/>
    </row>
    <row r="204" spans="1:17">
      <c r="A204" s="1">
        <v>44798</v>
      </c>
      <c r="B204" s="25" t="s">
        <v>99</v>
      </c>
      <c r="C204" s="3" t="s">
        <v>89</v>
      </c>
      <c r="D204" s="4" t="s">
        <v>414</v>
      </c>
      <c r="E204" s="1"/>
      <c r="F204" s="5">
        <v>116.48</v>
      </c>
      <c r="G204" s="5"/>
      <c r="H204" s="29">
        <f t="shared" si="23"/>
        <v>11.648</v>
      </c>
      <c r="I204" s="5"/>
      <c r="J204" s="1">
        <v>44823</v>
      </c>
      <c r="K204" s="5">
        <v>0.2</v>
      </c>
      <c r="L204" s="5">
        <f t="shared" si="24"/>
        <v>2.2000000000000002</v>
      </c>
      <c r="M204" s="5">
        <v>700</v>
      </c>
      <c r="N204" s="1">
        <v>44820</v>
      </c>
      <c r="O204" s="6"/>
      <c r="P204" s="7">
        <f t="shared" si="25"/>
        <v>569.67200000000003</v>
      </c>
      <c r="Q204" s="3"/>
    </row>
    <row r="205" spans="1:17">
      <c r="A205" s="1">
        <v>44798</v>
      </c>
      <c r="B205" s="25" t="s">
        <v>416</v>
      </c>
      <c r="C205" s="3" t="s">
        <v>89</v>
      </c>
      <c r="D205" s="4" t="s">
        <v>415</v>
      </c>
      <c r="E205" s="1"/>
      <c r="F205" s="5">
        <v>488</v>
      </c>
      <c r="G205" s="29"/>
      <c r="H205" s="29">
        <f t="shared" si="23"/>
        <v>48.8</v>
      </c>
      <c r="I205" s="5"/>
      <c r="J205" s="1">
        <v>44812</v>
      </c>
      <c r="K205" s="5">
        <v>0.5</v>
      </c>
      <c r="L205" s="5">
        <f t="shared" si="24"/>
        <v>5.5</v>
      </c>
      <c r="M205" s="5">
        <v>594</v>
      </c>
      <c r="N205" s="1">
        <v>44831</v>
      </c>
      <c r="O205" s="6"/>
      <c r="P205" s="7">
        <f t="shared" si="25"/>
        <v>51.700000000000045</v>
      </c>
      <c r="Q205" s="3"/>
    </row>
    <row r="206" spans="1:17">
      <c r="A206" s="38">
        <v>44798</v>
      </c>
      <c r="B206" s="39" t="s">
        <v>58</v>
      </c>
      <c r="C206" s="40" t="s">
        <v>418</v>
      </c>
      <c r="D206" s="27" t="s">
        <v>417</v>
      </c>
      <c r="E206" s="1"/>
      <c r="F206" s="5"/>
      <c r="G206" s="5"/>
      <c r="H206" s="5"/>
      <c r="I206" s="5"/>
      <c r="J206" s="1"/>
      <c r="K206" s="5"/>
      <c r="L206" s="5">
        <f t="shared" si="24"/>
        <v>0</v>
      </c>
      <c r="M206" s="5"/>
      <c r="N206" s="1"/>
      <c r="O206" s="6"/>
      <c r="P206" s="7">
        <f t="shared" si="25"/>
        <v>0</v>
      </c>
      <c r="Q206" s="3"/>
    </row>
    <row r="207" spans="1:17">
      <c r="A207" s="1">
        <v>44800</v>
      </c>
      <c r="B207" s="25" t="s">
        <v>197</v>
      </c>
      <c r="C207" s="3" t="s">
        <v>126</v>
      </c>
      <c r="D207" s="4" t="s">
        <v>422</v>
      </c>
      <c r="E207" s="1"/>
      <c r="F207" s="5">
        <v>99.32</v>
      </c>
      <c r="G207" s="5"/>
      <c r="H207" s="29">
        <f t="shared" ref="H207:H213" si="26">(F207/100)*10</f>
        <v>9.9320000000000004</v>
      </c>
      <c r="I207" s="29"/>
      <c r="J207" s="1">
        <v>44823</v>
      </c>
      <c r="K207" s="5">
        <v>0.9</v>
      </c>
      <c r="L207" s="5">
        <f t="shared" si="24"/>
        <v>9.9</v>
      </c>
      <c r="M207" s="5">
        <f>109.25+14.3+9.9</f>
        <v>133.44999999999999</v>
      </c>
      <c r="N207" s="1">
        <v>44804</v>
      </c>
      <c r="O207" s="6"/>
      <c r="P207" s="7">
        <f t="shared" si="25"/>
        <v>14.297999999999988</v>
      </c>
      <c r="Q207" s="3"/>
    </row>
    <row r="208" spans="1:17" ht="15" customHeight="1">
      <c r="A208" s="38">
        <v>44800</v>
      </c>
      <c r="B208" s="39" t="s">
        <v>41</v>
      </c>
      <c r="C208" s="40" t="s">
        <v>424</v>
      </c>
      <c r="D208" s="27" t="s">
        <v>423</v>
      </c>
      <c r="E208" s="1"/>
      <c r="F208" s="5"/>
      <c r="G208" s="5"/>
      <c r="H208" s="5">
        <f t="shared" si="26"/>
        <v>0</v>
      </c>
      <c r="I208" s="5"/>
      <c r="J208" s="1"/>
      <c r="K208" s="5"/>
      <c r="L208" s="5">
        <f t="shared" si="24"/>
        <v>0</v>
      </c>
      <c r="M208" s="5"/>
      <c r="N208" s="1"/>
      <c r="O208" s="6"/>
      <c r="P208" s="7">
        <f t="shared" si="25"/>
        <v>0</v>
      </c>
      <c r="Q208" s="3"/>
    </row>
    <row r="209" spans="1:17">
      <c r="A209" s="1">
        <v>44800</v>
      </c>
      <c r="B209" s="25" t="s">
        <v>426</v>
      </c>
      <c r="C209" s="3" t="s">
        <v>119</v>
      </c>
      <c r="D209" s="4" t="s">
        <v>425</v>
      </c>
      <c r="E209" s="1"/>
      <c r="F209" s="5">
        <v>64.37</v>
      </c>
      <c r="G209" s="5"/>
      <c r="H209" s="29">
        <f t="shared" si="26"/>
        <v>6.4370000000000003</v>
      </c>
      <c r="I209" s="5"/>
      <c r="J209" s="1">
        <v>44831</v>
      </c>
      <c r="K209" s="5">
        <v>0.35</v>
      </c>
      <c r="L209" s="5">
        <f t="shared" si="24"/>
        <v>3.8499999999999996</v>
      </c>
      <c r="M209" s="5">
        <v>-35</v>
      </c>
      <c r="N209" s="1">
        <v>44832</v>
      </c>
      <c r="O209" s="6"/>
      <c r="P209" s="7">
        <f t="shared" si="25"/>
        <v>-109.657</v>
      </c>
      <c r="Q209" s="3"/>
    </row>
    <row r="210" spans="1:17" ht="15" customHeight="1">
      <c r="A210" s="1">
        <v>44804</v>
      </c>
      <c r="B210" s="25" t="s">
        <v>428</v>
      </c>
      <c r="C210" s="3" t="s">
        <v>18</v>
      </c>
      <c r="D210" s="4" t="s">
        <v>427</v>
      </c>
      <c r="E210" s="1"/>
      <c r="F210" s="5">
        <v>417</v>
      </c>
      <c r="G210" s="5"/>
      <c r="H210" s="29">
        <f t="shared" si="26"/>
        <v>41.7</v>
      </c>
      <c r="I210" s="29"/>
      <c r="J210" s="1">
        <v>44823</v>
      </c>
      <c r="K210" s="5">
        <v>0.3</v>
      </c>
      <c r="L210" s="5">
        <f t="shared" si="24"/>
        <v>3.3</v>
      </c>
      <c r="M210" s="5">
        <v>-14</v>
      </c>
      <c r="N210" s="1">
        <v>44804</v>
      </c>
      <c r="O210" s="6"/>
      <c r="P210" s="7">
        <f t="shared" si="25"/>
        <v>-476</v>
      </c>
      <c r="Q210" s="3"/>
    </row>
    <row r="211" spans="1:17">
      <c r="A211" s="1">
        <v>44804</v>
      </c>
      <c r="B211" s="25" t="s">
        <v>430</v>
      </c>
      <c r="C211" s="3" t="s">
        <v>28</v>
      </c>
      <c r="D211" s="4" t="s">
        <v>429</v>
      </c>
      <c r="E211" s="1"/>
      <c r="F211" s="5">
        <v>158</v>
      </c>
      <c r="G211" s="5"/>
      <c r="H211" s="29">
        <f t="shared" si="26"/>
        <v>15.8</v>
      </c>
      <c r="I211" s="29"/>
      <c r="J211" s="1">
        <v>44826</v>
      </c>
      <c r="K211" s="5">
        <v>0</v>
      </c>
      <c r="L211" s="5">
        <f t="shared" si="24"/>
        <v>0</v>
      </c>
      <c r="M211" s="5"/>
      <c r="N211" s="1"/>
      <c r="O211" s="6"/>
      <c r="P211" s="7">
        <f t="shared" si="25"/>
        <v>-173.8</v>
      </c>
      <c r="Q211" s="3"/>
    </row>
    <row r="212" spans="1:17" ht="15" customHeight="1">
      <c r="A212" s="1">
        <v>44804</v>
      </c>
      <c r="B212" s="25" t="s">
        <v>431</v>
      </c>
      <c r="C212" s="3" t="s">
        <v>28</v>
      </c>
      <c r="D212" s="42" t="s">
        <v>446</v>
      </c>
      <c r="E212" s="1"/>
      <c r="F212" s="5">
        <v>256.61</v>
      </c>
      <c r="G212" s="5"/>
      <c r="H212" s="29">
        <f t="shared" si="26"/>
        <v>25.661000000000001</v>
      </c>
      <c r="I212" s="29"/>
      <c r="J212" s="1">
        <v>44826</v>
      </c>
      <c r="K212" s="5">
        <v>0</v>
      </c>
      <c r="L212" s="5">
        <f t="shared" si="24"/>
        <v>0</v>
      </c>
      <c r="M212" s="5"/>
      <c r="N212" s="1"/>
      <c r="O212" s="6"/>
      <c r="P212" s="7">
        <f t="shared" si="25"/>
        <v>-282.27100000000002</v>
      </c>
      <c r="Q212" s="3"/>
    </row>
    <row r="213" spans="1:17" ht="15" customHeight="1">
      <c r="A213" s="1">
        <v>44804</v>
      </c>
      <c r="B213" s="25" t="s">
        <v>295</v>
      </c>
      <c r="C213" s="3" t="s">
        <v>28</v>
      </c>
      <c r="D213" s="4" t="s">
        <v>432</v>
      </c>
      <c r="E213" s="1"/>
      <c r="F213" s="5">
        <v>59.97</v>
      </c>
      <c r="G213" s="5"/>
      <c r="H213" s="29">
        <f t="shared" si="26"/>
        <v>5.9969999999999999</v>
      </c>
      <c r="I213" s="29"/>
      <c r="J213" s="1">
        <v>44823</v>
      </c>
      <c r="K213" s="5">
        <v>0</v>
      </c>
      <c r="L213" s="5">
        <f t="shared" si="24"/>
        <v>0</v>
      </c>
      <c r="M213" s="5"/>
      <c r="N213" s="1"/>
      <c r="O213" s="6"/>
      <c r="P213" s="7">
        <f t="shared" si="25"/>
        <v>-65.966999999999999</v>
      </c>
      <c r="Q213" s="3"/>
    </row>
    <row r="214" spans="1:17" ht="15" customHeight="1">
      <c r="A214" s="1">
        <v>44804</v>
      </c>
      <c r="B214" s="25" t="s">
        <v>295</v>
      </c>
      <c r="C214" s="3" t="s">
        <v>185</v>
      </c>
      <c r="D214" s="4" t="s">
        <v>432</v>
      </c>
      <c r="E214" s="1"/>
      <c r="F214" s="5">
        <v>35</v>
      </c>
      <c r="G214" s="5"/>
      <c r="H214" s="29"/>
      <c r="I214" s="29"/>
      <c r="J214" s="1">
        <v>44823</v>
      </c>
      <c r="K214" s="5">
        <v>0</v>
      </c>
      <c r="L214" s="5">
        <f t="shared" si="24"/>
        <v>0</v>
      </c>
      <c r="M214" s="5"/>
      <c r="N214" s="1"/>
      <c r="O214" s="6"/>
      <c r="P214" s="7">
        <f t="shared" si="25"/>
        <v>-35</v>
      </c>
      <c r="Q214" s="3"/>
    </row>
    <row r="215" spans="1:17" ht="15" customHeight="1">
      <c r="A215" s="1">
        <v>44804</v>
      </c>
      <c r="B215" s="25" t="s">
        <v>434</v>
      </c>
      <c r="C215" s="3" t="s">
        <v>28</v>
      </c>
      <c r="D215" s="4" t="s">
        <v>433</v>
      </c>
      <c r="E215" s="1"/>
      <c r="F215" s="5">
        <v>660</v>
      </c>
      <c r="G215" s="5"/>
      <c r="H215" s="29">
        <f t="shared" ref="H215:H234" si="27">(F215/100)*10</f>
        <v>66</v>
      </c>
      <c r="I215" s="29"/>
      <c r="J215" s="1">
        <v>44823</v>
      </c>
      <c r="K215" s="5">
        <v>0</v>
      </c>
      <c r="L215" s="5">
        <f t="shared" si="24"/>
        <v>0</v>
      </c>
      <c r="M215" s="5"/>
      <c r="N215" s="1"/>
      <c r="O215" s="6"/>
      <c r="P215" s="7">
        <f t="shared" si="25"/>
        <v>-726</v>
      </c>
      <c r="Q215" s="3"/>
    </row>
    <row r="216" spans="1:17" ht="15.75">
      <c r="A216" s="1">
        <v>44804</v>
      </c>
      <c r="B216" s="43" t="s">
        <v>436</v>
      </c>
      <c r="C216" s="3" t="s">
        <v>28</v>
      </c>
      <c r="D216" s="4" t="s">
        <v>435</v>
      </c>
      <c r="E216" s="1"/>
      <c r="F216" s="5">
        <v>164</v>
      </c>
      <c r="G216" s="5"/>
      <c r="H216" s="29">
        <f t="shared" si="27"/>
        <v>16.399999999999999</v>
      </c>
      <c r="I216" s="29"/>
      <c r="J216" s="1">
        <v>44823</v>
      </c>
      <c r="K216" s="5">
        <v>0</v>
      </c>
      <c r="L216" s="5">
        <f t="shared" si="24"/>
        <v>0</v>
      </c>
      <c r="M216" s="5"/>
      <c r="N216" s="1"/>
      <c r="O216" s="6"/>
      <c r="P216" s="7">
        <f t="shared" si="25"/>
        <v>-180.4</v>
      </c>
      <c r="Q216" s="3"/>
    </row>
    <row r="217" spans="1:17">
      <c r="A217" s="1">
        <v>44804</v>
      </c>
      <c r="B217" s="25" t="s">
        <v>438</v>
      </c>
      <c r="C217" s="3" t="s">
        <v>28</v>
      </c>
      <c r="D217" s="4" t="s">
        <v>437</v>
      </c>
      <c r="E217" s="1"/>
      <c r="F217" s="5">
        <v>79</v>
      </c>
      <c r="G217" s="5"/>
      <c r="H217" s="29">
        <f t="shared" si="27"/>
        <v>7.9</v>
      </c>
      <c r="I217" s="29"/>
      <c r="J217" s="1">
        <v>44826</v>
      </c>
      <c r="K217" s="5">
        <v>0</v>
      </c>
      <c r="L217" s="5">
        <f t="shared" si="24"/>
        <v>0</v>
      </c>
      <c r="M217" s="5"/>
      <c r="N217" s="1"/>
      <c r="O217" s="6"/>
      <c r="P217" s="7">
        <f t="shared" si="25"/>
        <v>-86.9</v>
      </c>
      <c r="Q217" s="3"/>
    </row>
    <row r="218" spans="1:17">
      <c r="A218" s="1">
        <v>44804</v>
      </c>
      <c r="B218" s="25" t="s">
        <v>229</v>
      </c>
      <c r="C218" s="3" t="s">
        <v>39</v>
      </c>
      <c r="D218" s="4" t="s">
        <v>439</v>
      </c>
      <c r="E218" s="1"/>
      <c r="F218" s="5">
        <v>97.81</v>
      </c>
      <c r="G218" s="5"/>
      <c r="H218" s="29">
        <f t="shared" si="27"/>
        <v>9.7809999999999988</v>
      </c>
      <c r="I218" s="29"/>
      <c r="J218" s="1">
        <v>44826</v>
      </c>
      <c r="K218" s="5">
        <v>0.85</v>
      </c>
      <c r="L218" s="5">
        <f t="shared" si="24"/>
        <v>9.35</v>
      </c>
      <c r="M218" s="5">
        <v>250</v>
      </c>
      <c r="N218" s="1">
        <v>44828</v>
      </c>
      <c r="O218" s="6"/>
      <c r="P218" s="7">
        <f t="shared" si="25"/>
        <v>133.059</v>
      </c>
      <c r="Q218" s="3"/>
    </row>
    <row r="219" spans="1:17" ht="15" customHeight="1">
      <c r="A219" s="1">
        <v>44804</v>
      </c>
      <c r="B219" s="25" t="s">
        <v>60</v>
      </c>
      <c r="C219" s="3" t="s">
        <v>64</v>
      </c>
      <c r="D219" s="4" t="s">
        <v>440</v>
      </c>
      <c r="E219" s="1"/>
      <c r="F219" s="5">
        <v>121</v>
      </c>
      <c r="G219" s="5"/>
      <c r="H219" s="29">
        <f t="shared" si="27"/>
        <v>12.1</v>
      </c>
      <c r="I219" s="29"/>
      <c r="J219" s="1">
        <v>44823</v>
      </c>
      <c r="K219" s="5">
        <v>1.9</v>
      </c>
      <c r="L219" s="5">
        <f t="shared" si="24"/>
        <v>20.9</v>
      </c>
      <c r="M219" s="5">
        <v>200</v>
      </c>
      <c r="N219" s="1">
        <v>44830</v>
      </c>
      <c r="O219" s="6"/>
      <c r="P219" s="7">
        <f t="shared" si="25"/>
        <v>46</v>
      </c>
      <c r="Q219" s="3"/>
    </row>
    <row r="220" spans="1:17" ht="15" customHeight="1">
      <c r="A220" s="1">
        <v>44804</v>
      </c>
      <c r="B220" s="25" t="s">
        <v>105</v>
      </c>
      <c r="C220" s="3" t="s">
        <v>104</v>
      </c>
      <c r="D220" s="4" t="s">
        <v>441</v>
      </c>
      <c r="E220" s="1"/>
      <c r="F220" s="5">
        <v>513</v>
      </c>
      <c r="G220" s="5"/>
      <c r="H220" s="29">
        <f t="shared" si="27"/>
        <v>51.3</v>
      </c>
      <c r="I220" s="29"/>
      <c r="J220" s="1">
        <v>44823</v>
      </c>
      <c r="K220" s="5">
        <v>3.1</v>
      </c>
      <c r="L220" s="5">
        <f t="shared" si="24"/>
        <v>34.1</v>
      </c>
      <c r="M220" s="5">
        <v>550</v>
      </c>
      <c r="N220" s="1">
        <v>44809</v>
      </c>
      <c r="O220" s="6"/>
      <c r="P220" s="7">
        <f t="shared" si="25"/>
        <v>-48.399999999999977</v>
      </c>
      <c r="Q220" s="3"/>
    </row>
    <row r="221" spans="1:17" ht="15" customHeight="1">
      <c r="A221" s="1">
        <v>44805</v>
      </c>
      <c r="B221" s="25" t="s">
        <v>70</v>
      </c>
      <c r="C221" s="3" t="s">
        <v>132</v>
      </c>
      <c r="D221" s="4" t="s">
        <v>442</v>
      </c>
      <c r="E221" s="1"/>
      <c r="F221" s="5">
        <v>21</v>
      </c>
      <c r="G221" s="5"/>
      <c r="H221" s="29">
        <f t="shared" si="27"/>
        <v>2.1</v>
      </c>
      <c r="I221" s="29"/>
      <c r="J221" s="1">
        <v>44823</v>
      </c>
      <c r="K221" s="5">
        <v>1</v>
      </c>
      <c r="L221" s="5">
        <f t="shared" si="24"/>
        <v>11</v>
      </c>
      <c r="M221" s="5">
        <v>600</v>
      </c>
      <c r="N221" s="1">
        <v>44827</v>
      </c>
      <c r="O221" s="6"/>
      <c r="P221" s="7">
        <f t="shared" si="25"/>
        <v>565.9</v>
      </c>
      <c r="Q221" s="3"/>
    </row>
    <row r="222" spans="1:17" ht="15" customHeight="1">
      <c r="A222" s="1">
        <v>44805</v>
      </c>
      <c r="B222" s="25" t="s">
        <v>60</v>
      </c>
      <c r="C222" s="3" t="s">
        <v>64</v>
      </c>
      <c r="D222" s="4" t="s">
        <v>443</v>
      </c>
      <c r="E222" s="1"/>
      <c r="F222" s="5">
        <v>109</v>
      </c>
      <c r="G222" s="5"/>
      <c r="H222" s="29">
        <f t="shared" si="27"/>
        <v>10.9</v>
      </c>
      <c r="I222" s="29"/>
      <c r="J222" s="1">
        <v>44826</v>
      </c>
      <c r="K222" s="5">
        <v>0.95</v>
      </c>
      <c r="L222" s="5">
        <f t="shared" si="24"/>
        <v>10.45</v>
      </c>
      <c r="M222" s="5">
        <v>120</v>
      </c>
      <c r="N222" s="1">
        <v>44863</v>
      </c>
      <c r="O222" s="6"/>
      <c r="P222" s="7">
        <f t="shared" si="25"/>
        <v>-10.349999999999994</v>
      </c>
      <c r="Q222" s="3"/>
    </row>
    <row r="223" spans="1:17" ht="15" customHeight="1">
      <c r="A223" s="1">
        <v>44805</v>
      </c>
      <c r="B223" s="2" t="s">
        <v>41</v>
      </c>
      <c r="C223" s="3" t="s">
        <v>132</v>
      </c>
      <c r="D223" s="4" t="s">
        <v>444</v>
      </c>
      <c r="E223" s="1"/>
      <c r="F223" s="5">
        <v>21</v>
      </c>
      <c r="G223" s="5"/>
      <c r="H223" s="29">
        <f t="shared" si="27"/>
        <v>2.1</v>
      </c>
      <c r="I223" s="5"/>
      <c r="J223" s="1">
        <v>44831</v>
      </c>
      <c r="K223" s="5">
        <v>0.3</v>
      </c>
      <c r="L223" s="5">
        <f t="shared" si="24"/>
        <v>3.3</v>
      </c>
      <c r="M223" s="5">
        <v>100</v>
      </c>
      <c r="N223" s="1">
        <v>44837</v>
      </c>
      <c r="O223" s="6"/>
      <c r="P223" s="7">
        <f t="shared" si="25"/>
        <v>73.599999999999994</v>
      </c>
      <c r="Q223" s="3"/>
    </row>
    <row r="224" spans="1:17" ht="15" customHeight="1">
      <c r="A224" s="1">
        <v>44805</v>
      </c>
      <c r="B224" s="25" t="s">
        <v>60</v>
      </c>
      <c r="C224" s="3" t="s">
        <v>64</v>
      </c>
      <c r="D224" s="4" t="s">
        <v>445</v>
      </c>
      <c r="E224" s="1"/>
      <c r="F224" s="5">
        <v>86</v>
      </c>
      <c r="G224" s="5"/>
      <c r="H224" s="29">
        <f t="shared" si="27"/>
        <v>8.6</v>
      </c>
      <c r="I224" s="29"/>
      <c r="J224" s="1">
        <v>44823</v>
      </c>
      <c r="K224" s="5">
        <v>0</v>
      </c>
      <c r="L224" s="5">
        <f t="shared" si="24"/>
        <v>0</v>
      </c>
      <c r="M224" s="5"/>
      <c r="N224" s="1"/>
      <c r="O224" s="6"/>
      <c r="P224" s="7">
        <f t="shared" si="25"/>
        <v>-94.6</v>
      </c>
      <c r="Q224" s="3"/>
    </row>
    <row r="225" spans="1:17">
      <c r="A225" s="1">
        <v>44807</v>
      </c>
      <c r="B225" s="25" t="s">
        <v>458</v>
      </c>
      <c r="C225" s="3" t="s">
        <v>132</v>
      </c>
      <c r="D225" s="4" t="s">
        <v>457</v>
      </c>
      <c r="E225" s="1"/>
      <c r="F225" s="5">
        <v>65.98</v>
      </c>
      <c r="G225" s="5"/>
      <c r="H225" s="29">
        <f t="shared" si="27"/>
        <v>6.5980000000000008</v>
      </c>
      <c r="I225" s="29">
        <v>-7.48</v>
      </c>
      <c r="J225" s="1">
        <v>44826</v>
      </c>
      <c r="K225" s="5">
        <v>0.4</v>
      </c>
      <c r="L225" s="5">
        <f t="shared" si="24"/>
        <v>4.4000000000000004</v>
      </c>
      <c r="M225" s="5">
        <v>100</v>
      </c>
      <c r="N225" s="1">
        <v>44850</v>
      </c>
      <c r="O225" s="6"/>
      <c r="P225" s="7">
        <f t="shared" si="25"/>
        <v>23.021999999999991</v>
      </c>
      <c r="Q225" s="3"/>
    </row>
    <row r="226" spans="1:17">
      <c r="A226" s="1">
        <v>44807</v>
      </c>
      <c r="B226" s="25" t="s">
        <v>460</v>
      </c>
      <c r="C226" s="3" t="s">
        <v>28</v>
      </c>
      <c r="D226" s="4" t="s">
        <v>459</v>
      </c>
      <c r="E226" s="1"/>
      <c r="F226" s="5">
        <v>117</v>
      </c>
      <c r="G226" s="5"/>
      <c r="H226" s="29">
        <f t="shared" si="27"/>
        <v>11.7</v>
      </c>
      <c r="I226" s="29">
        <v>9.48</v>
      </c>
      <c r="J226" s="1">
        <v>44831</v>
      </c>
      <c r="K226" s="5">
        <v>2.1</v>
      </c>
      <c r="L226" s="5">
        <f t="shared" si="24"/>
        <v>23.1</v>
      </c>
      <c r="M226" s="5"/>
      <c r="N226" s="1"/>
      <c r="O226" s="6"/>
      <c r="P226" s="7">
        <f t="shared" si="25"/>
        <v>-151.79999999999998</v>
      </c>
      <c r="Q226" s="3"/>
    </row>
    <row r="227" spans="1:17">
      <c r="A227" s="1">
        <v>44808</v>
      </c>
      <c r="B227" s="25" t="s">
        <v>99</v>
      </c>
      <c r="C227" s="3" t="s">
        <v>89</v>
      </c>
      <c r="D227" s="4" t="s">
        <v>461</v>
      </c>
      <c r="E227" s="1"/>
      <c r="F227" s="5">
        <v>419</v>
      </c>
      <c r="G227" s="5"/>
      <c r="H227" s="29">
        <f t="shared" si="27"/>
        <v>41.900000000000006</v>
      </c>
      <c r="I227" s="29"/>
      <c r="J227" s="1">
        <v>44826</v>
      </c>
      <c r="K227" s="5">
        <v>0.7</v>
      </c>
      <c r="L227" s="5">
        <f t="shared" si="24"/>
        <v>7.6999999999999993</v>
      </c>
      <c r="M227" s="5">
        <v>300</v>
      </c>
      <c r="N227" s="1">
        <v>44845</v>
      </c>
      <c r="O227" s="6"/>
      <c r="P227" s="7">
        <f t="shared" si="25"/>
        <v>-168.59999999999997</v>
      </c>
      <c r="Q227" s="3"/>
    </row>
    <row r="228" spans="1:17">
      <c r="A228" s="1">
        <v>44810</v>
      </c>
      <c r="B228" s="25" t="s">
        <v>156</v>
      </c>
      <c r="C228" s="3" t="s">
        <v>262</v>
      </c>
      <c r="D228" s="4" t="s">
        <v>463</v>
      </c>
      <c r="E228" s="1"/>
      <c r="F228" s="5">
        <v>179</v>
      </c>
      <c r="G228" s="5"/>
      <c r="H228" s="29">
        <f t="shared" si="27"/>
        <v>17.899999999999999</v>
      </c>
      <c r="I228" s="29">
        <v>53.7</v>
      </c>
      <c r="J228" s="1">
        <v>44831</v>
      </c>
      <c r="K228" s="5">
        <v>1.9</v>
      </c>
      <c r="L228" s="5">
        <f t="shared" si="24"/>
        <v>20.9</v>
      </c>
      <c r="M228" s="5">
        <v>30.7</v>
      </c>
      <c r="N228" s="1">
        <v>44832</v>
      </c>
      <c r="O228" s="6"/>
      <c r="P228" s="7">
        <f t="shared" si="25"/>
        <v>-187.10000000000002</v>
      </c>
      <c r="Q228" s="3"/>
    </row>
    <row r="229" spans="1:17" ht="15" customHeight="1">
      <c r="A229" s="1">
        <v>44810</v>
      </c>
      <c r="B229" s="25" t="s">
        <v>105</v>
      </c>
      <c r="C229" s="3" t="s">
        <v>104</v>
      </c>
      <c r="D229" s="4" t="s">
        <v>464</v>
      </c>
      <c r="E229" s="1"/>
      <c r="F229" s="5">
        <v>277</v>
      </c>
      <c r="G229" s="5"/>
      <c r="H229" s="29">
        <f t="shared" si="27"/>
        <v>27.7</v>
      </c>
      <c r="I229" s="29"/>
      <c r="J229" s="1">
        <v>44823</v>
      </c>
      <c r="K229" s="5">
        <v>0</v>
      </c>
      <c r="L229" s="5">
        <f t="shared" si="24"/>
        <v>0</v>
      </c>
      <c r="M229" s="5">
        <v>320.37</v>
      </c>
      <c r="N229" s="1">
        <v>44824</v>
      </c>
      <c r="O229" s="6"/>
      <c r="P229" s="7">
        <f t="shared" si="25"/>
        <v>15.670000000000016</v>
      </c>
      <c r="Q229" s="3"/>
    </row>
    <row r="230" spans="1:17" ht="15" customHeight="1">
      <c r="A230" s="1">
        <v>44810</v>
      </c>
      <c r="B230" s="25" t="s">
        <v>275</v>
      </c>
      <c r="C230" s="3" t="s">
        <v>226</v>
      </c>
      <c r="D230" s="4" t="s">
        <v>465</v>
      </c>
      <c r="E230" s="1"/>
      <c r="F230" s="5">
        <v>108.79</v>
      </c>
      <c r="G230" s="5"/>
      <c r="H230" s="29">
        <f t="shared" si="27"/>
        <v>10.879000000000001</v>
      </c>
      <c r="I230" s="29">
        <v>6</v>
      </c>
      <c r="J230" s="1">
        <v>44834</v>
      </c>
      <c r="K230" s="5">
        <v>1.4</v>
      </c>
      <c r="L230" s="5">
        <f t="shared" si="24"/>
        <v>15.399999999999999</v>
      </c>
      <c r="M230" s="5">
        <v>135</v>
      </c>
      <c r="N230" s="1">
        <v>44835</v>
      </c>
      <c r="O230" s="6"/>
      <c r="P230" s="7">
        <f t="shared" si="25"/>
        <v>-6.9000000000016826E-2</v>
      </c>
      <c r="Q230" s="3"/>
    </row>
    <row r="231" spans="1:17" ht="15" customHeight="1">
      <c r="A231" s="1">
        <v>44811</v>
      </c>
      <c r="B231" s="25" t="s">
        <v>60</v>
      </c>
      <c r="C231" s="3" t="s">
        <v>64</v>
      </c>
      <c r="D231" s="4" t="s">
        <v>466</v>
      </c>
      <c r="E231" s="1"/>
      <c r="F231" s="5">
        <v>115</v>
      </c>
      <c r="G231" s="5"/>
      <c r="H231" s="29">
        <f t="shared" si="27"/>
        <v>11.5</v>
      </c>
      <c r="I231" s="5"/>
      <c r="J231" s="1">
        <v>44834</v>
      </c>
      <c r="K231" s="5">
        <v>1</v>
      </c>
      <c r="L231" s="5">
        <f t="shared" si="24"/>
        <v>11</v>
      </c>
      <c r="M231" s="5"/>
      <c r="N231" s="1"/>
      <c r="O231" s="6"/>
      <c r="P231" s="7">
        <f t="shared" si="25"/>
        <v>-137.5</v>
      </c>
      <c r="Q231" s="3"/>
    </row>
    <row r="232" spans="1:17">
      <c r="A232" s="1">
        <v>44808</v>
      </c>
      <c r="B232" s="25" t="s">
        <v>470</v>
      </c>
      <c r="C232" s="3" t="s">
        <v>28</v>
      </c>
      <c r="D232" s="4" t="s">
        <v>469</v>
      </c>
      <c r="E232" s="1"/>
      <c r="F232" s="5">
        <v>66</v>
      </c>
      <c r="G232" s="5"/>
      <c r="H232" s="29">
        <f t="shared" si="27"/>
        <v>6.6000000000000005</v>
      </c>
      <c r="I232" s="5"/>
      <c r="J232" s="1">
        <v>44841</v>
      </c>
      <c r="K232" s="5">
        <v>1.3</v>
      </c>
      <c r="L232" s="5">
        <f t="shared" si="24"/>
        <v>14.3</v>
      </c>
      <c r="M232" s="5"/>
      <c r="N232" s="1"/>
      <c r="O232" s="6"/>
      <c r="P232" s="7">
        <f t="shared" si="25"/>
        <v>-86.899999999999991</v>
      </c>
      <c r="Q232" s="3"/>
    </row>
    <row r="233" spans="1:17" ht="15" customHeight="1">
      <c r="A233" s="1">
        <v>44812</v>
      </c>
      <c r="B233" s="25" t="s">
        <v>41</v>
      </c>
      <c r="C233" s="3" t="s">
        <v>145</v>
      </c>
      <c r="D233" s="4" t="s">
        <v>471</v>
      </c>
      <c r="E233" s="1"/>
      <c r="F233" s="5">
        <v>33.979999999999997</v>
      </c>
      <c r="G233" s="5"/>
      <c r="H233" s="29">
        <f t="shared" si="27"/>
        <v>3.3979999999999997</v>
      </c>
      <c r="I233" s="5"/>
      <c r="J233" s="1">
        <v>44831</v>
      </c>
      <c r="K233" s="5">
        <v>0.5</v>
      </c>
      <c r="L233" s="5">
        <f t="shared" si="24"/>
        <v>5.5</v>
      </c>
      <c r="M233" s="5">
        <v>37.369999999999997</v>
      </c>
      <c r="N233" s="1">
        <v>44812</v>
      </c>
      <c r="O233" s="6"/>
      <c r="P233" s="7">
        <f t="shared" si="25"/>
        <v>-5.5080000000000027</v>
      </c>
      <c r="Q233" s="3"/>
    </row>
    <row r="234" spans="1:17" ht="15" customHeight="1">
      <c r="A234" s="1">
        <v>44812</v>
      </c>
      <c r="B234" s="25" t="s">
        <v>70</v>
      </c>
      <c r="C234" s="3" t="s">
        <v>472</v>
      </c>
      <c r="D234" s="4" t="s">
        <v>473</v>
      </c>
      <c r="E234" s="1"/>
      <c r="F234" s="5">
        <v>23.95</v>
      </c>
      <c r="G234" s="5"/>
      <c r="H234" s="29">
        <f t="shared" si="27"/>
        <v>2.395</v>
      </c>
      <c r="I234" s="5"/>
      <c r="J234" s="1">
        <v>44831</v>
      </c>
      <c r="K234" s="5">
        <v>1.4</v>
      </c>
      <c r="L234" s="5">
        <f t="shared" si="24"/>
        <v>15.399999999999999</v>
      </c>
      <c r="M234" s="5">
        <f>26.28+15</f>
        <v>41.28</v>
      </c>
      <c r="N234" s="1">
        <v>44817</v>
      </c>
      <c r="O234" s="6"/>
      <c r="P234" s="7">
        <f t="shared" si="25"/>
        <v>-0.46499999999999631</v>
      </c>
      <c r="Q234" s="3"/>
    </row>
    <row r="235" spans="1:17" ht="15" customHeight="1">
      <c r="A235" s="1">
        <v>44812</v>
      </c>
      <c r="B235" s="25" t="s">
        <v>475</v>
      </c>
      <c r="C235" s="3" t="s">
        <v>474</v>
      </c>
      <c r="D235" s="36" t="s">
        <v>489</v>
      </c>
      <c r="E235" s="1"/>
      <c r="F235" s="5">
        <v>158</v>
      </c>
      <c r="G235" s="5"/>
      <c r="H235" s="29">
        <f t="shared" ref="H235:H242" si="28">(F235/100)*10</f>
        <v>15.8</v>
      </c>
      <c r="I235" s="5"/>
      <c r="J235" s="1">
        <v>44834</v>
      </c>
      <c r="K235" s="5">
        <v>0.7</v>
      </c>
      <c r="L235" s="5">
        <f t="shared" ref="L235:L242" si="29">K235*11</f>
        <v>7.6999999999999993</v>
      </c>
      <c r="M235" s="5">
        <f>158+23.5</f>
        <v>181.5</v>
      </c>
      <c r="N235" s="1">
        <v>44812</v>
      </c>
      <c r="O235" s="6"/>
      <c r="P235" s="7">
        <f t="shared" ref="P235:P242" si="30">M235-(F235+G235+H235+L235)</f>
        <v>0</v>
      </c>
      <c r="Q235" s="3"/>
    </row>
    <row r="236" spans="1:17">
      <c r="A236" s="1">
        <v>44813</v>
      </c>
      <c r="B236" s="25" t="s">
        <v>63</v>
      </c>
      <c r="C236" s="3" t="s">
        <v>89</v>
      </c>
      <c r="D236" s="4" t="s">
        <v>476</v>
      </c>
      <c r="E236" s="1"/>
      <c r="F236" s="5">
        <v>66.760000000000005</v>
      </c>
      <c r="G236" s="5"/>
      <c r="H236" s="29">
        <f t="shared" si="28"/>
        <v>6.676000000000001</v>
      </c>
      <c r="I236" s="5"/>
      <c r="J236" s="1">
        <v>44834</v>
      </c>
      <c r="K236" s="5">
        <v>3.25</v>
      </c>
      <c r="L236" s="5">
        <f t="shared" si="29"/>
        <v>35.75</v>
      </c>
      <c r="M236" s="5">
        <v>200</v>
      </c>
      <c r="N236" s="1">
        <v>44837</v>
      </c>
      <c r="O236" s="6"/>
      <c r="P236" s="7">
        <f t="shared" si="30"/>
        <v>90.813999999999993</v>
      </c>
      <c r="Q236" s="3"/>
    </row>
    <row r="237" spans="1:17">
      <c r="A237" s="1">
        <v>44813</v>
      </c>
      <c r="B237" s="25" t="s">
        <v>478</v>
      </c>
      <c r="C237" s="3" t="s">
        <v>89</v>
      </c>
      <c r="D237" s="4" t="s">
        <v>477</v>
      </c>
      <c r="E237" s="1"/>
      <c r="F237" s="5">
        <v>229.31</v>
      </c>
      <c r="G237" s="5"/>
      <c r="H237" s="29">
        <f t="shared" si="28"/>
        <v>22.930999999999997</v>
      </c>
      <c r="I237" s="5"/>
      <c r="J237" s="1">
        <v>44834</v>
      </c>
      <c r="K237" s="5">
        <v>0</v>
      </c>
      <c r="L237" s="5">
        <f t="shared" si="29"/>
        <v>0</v>
      </c>
      <c r="M237" s="5">
        <v>600</v>
      </c>
      <c r="N237" s="1">
        <v>44858</v>
      </c>
      <c r="O237" s="6"/>
      <c r="P237" s="7">
        <f t="shared" si="30"/>
        <v>347.75900000000001</v>
      </c>
      <c r="Q237" s="3"/>
    </row>
    <row r="238" spans="1:17">
      <c r="A238" s="1">
        <v>44813</v>
      </c>
      <c r="B238" s="25" t="s">
        <v>91</v>
      </c>
      <c r="C238" s="3" t="s">
        <v>89</v>
      </c>
      <c r="D238" s="4" t="s">
        <v>479</v>
      </c>
      <c r="E238" s="1"/>
      <c r="F238" s="5">
        <v>85.56</v>
      </c>
      <c r="G238" s="5"/>
      <c r="H238" s="29">
        <f t="shared" si="28"/>
        <v>8.5560000000000009</v>
      </c>
      <c r="I238" s="5"/>
      <c r="J238" s="1">
        <v>44834</v>
      </c>
      <c r="K238" s="5">
        <v>0</v>
      </c>
      <c r="L238" s="5">
        <f t="shared" si="29"/>
        <v>0</v>
      </c>
      <c r="M238" s="5">
        <v>300</v>
      </c>
      <c r="N238" s="1">
        <v>44865</v>
      </c>
      <c r="O238" s="6"/>
      <c r="P238" s="7">
        <f t="shared" si="30"/>
        <v>205.88400000000001</v>
      </c>
      <c r="Q238" s="3"/>
    </row>
    <row r="239" spans="1:17" ht="30">
      <c r="A239" s="1">
        <v>44814</v>
      </c>
      <c r="B239" s="25" t="s">
        <v>382</v>
      </c>
      <c r="C239" s="3" t="s">
        <v>28</v>
      </c>
      <c r="D239" s="4" t="s">
        <v>480</v>
      </c>
      <c r="E239" s="1"/>
      <c r="F239" s="5">
        <v>179.37</v>
      </c>
      <c r="G239" s="5"/>
      <c r="H239" s="29">
        <f t="shared" si="28"/>
        <v>17.937000000000001</v>
      </c>
      <c r="I239" s="5"/>
      <c r="J239" s="1">
        <v>44834</v>
      </c>
      <c r="K239" s="5">
        <v>2.2000000000000002</v>
      </c>
      <c r="L239" s="5">
        <f t="shared" si="29"/>
        <v>24.200000000000003</v>
      </c>
      <c r="M239" s="5"/>
      <c r="N239" s="1"/>
      <c r="O239" s="6"/>
      <c r="P239" s="7">
        <f t="shared" si="30"/>
        <v>-221.50700000000001</v>
      </c>
      <c r="Q239" s="3"/>
    </row>
    <row r="240" spans="1:17" ht="15" customHeight="1">
      <c r="A240" s="1">
        <v>44814</v>
      </c>
      <c r="B240" s="25" t="s">
        <v>482</v>
      </c>
      <c r="C240" s="3" t="s">
        <v>28</v>
      </c>
      <c r="D240" s="4" t="s">
        <v>481</v>
      </c>
      <c r="E240" s="1"/>
      <c r="F240" s="5">
        <v>138.55000000000001</v>
      </c>
      <c r="G240" s="5"/>
      <c r="H240" s="29">
        <f t="shared" si="28"/>
        <v>13.855000000000002</v>
      </c>
      <c r="I240" s="29">
        <v>17</v>
      </c>
      <c r="J240" s="1">
        <v>44831</v>
      </c>
      <c r="K240" s="5">
        <v>0</v>
      </c>
      <c r="L240" s="5">
        <f t="shared" si="29"/>
        <v>0</v>
      </c>
      <c r="M240" s="5"/>
      <c r="N240" s="1"/>
      <c r="O240" s="6"/>
      <c r="P240" s="7">
        <f t="shared" si="30"/>
        <v>-152.405</v>
      </c>
      <c r="Q240" s="3"/>
    </row>
    <row r="241" spans="1:17">
      <c r="A241" s="1">
        <v>44814</v>
      </c>
      <c r="B241" s="25" t="s">
        <v>99</v>
      </c>
      <c r="C241" s="3" t="s">
        <v>28</v>
      </c>
      <c r="D241" s="4" t="s">
        <v>483</v>
      </c>
      <c r="E241" s="1"/>
      <c r="F241" s="5">
        <v>1034</v>
      </c>
      <c r="G241" s="5"/>
      <c r="H241" s="29">
        <f t="shared" si="28"/>
        <v>103.4</v>
      </c>
      <c r="I241" s="5"/>
      <c r="J241" s="1">
        <v>44834</v>
      </c>
      <c r="K241" s="5">
        <v>0</v>
      </c>
      <c r="L241" s="5">
        <f t="shared" si="29"/>
        <v>0</v>
      </c>
      <c r="M241" s="5"/>
      <c r="N241" s="1"/>
      <c r="O241" s="6"/>
      <c r="P241" s="7">
        <f t="shared" si="30"/>
        <v>-1137.4000000000001</v>
      </c>
      <c r="Q241" s="3"/>
    </row>
    <row r="242" spans="1:17" ht="15" customHeight="1">
      <c r="A242" s="1">
        <v>44814</v>
      </c>
      <c r="B242" s="25" t="s">
        <v>33</v>
      </c>
      <c r="C242" s="3" t="s">
        <v>69</v>
      </c>
      <c r="D242" s="4" t="s">
        <v>484</v>
      </c>
      <c r="E242" s="1"/>
      <c r="F242" s="5">
        <v>17.329999999999998</v>
      </c>
      <c r="G242" s="5"/>
      <c r="H242" s="29">
        <f t="shared" si="28"/>
        <v>1.7329999999999999</v>
      </c>
      <c r="I242" s="5"/>
      <c r="J242" s="1">
        <v>44834</v>
      </c>
      <c r="K242" s="5">
        <v>0.2</v>
      </c>
      <c r="L242" s="5">
        <f t="shared" si="29"/>
        <v>2.2000000000000002</v>
      </c>
      <c r="M242" s="5"/>
      <c r="N242" s="1"/>
      <c r="O242" s="6"/>
      <c r="P242" s="7">
        <f t="shared" si="30"/>
        <v>-21.262999999999998</v>
      </c>
      <c r="Q242" s="3"/>
    </row>
    <row r="243" spans="1:17">
      <c r="A243" s="1">
        <v>44814</v>
      </c>
      <c r="B243" s="25" t="s">
        <v>99</v>
      </c>
      <c r="C243" s="3" t="s">
        <v>28</v>
      </c>
      <c r="D243" s="4" t="s">
        <v>485</v>
      </c>
      <c r="E243" s="1"/>
      <c r="F243" s="5">
        <v>348</v>
      </c>
      <c r="G243" s="5"/>
      <c r="H243" s="29">
        <f t="shared" ref="H243:H251" si="31">(F243/100)*10</f>
        <v>34.799999999999997</v>
      </c>
      <c r="I243" s="29"/>
      <c r="J243" s="1">
        <v>44826</v>
      </c>
      <c r="K243" s="5">
        <v>0</v>
      </c>
      <c r="L243" s="5">
        <f t="shared" ref="L243:L251" si="32">K243*11</f>
        <v>0</v>
      </c>
      <c r="M243" s="5"/>
      <c r="N243" s="1"/>
      <c r="O243" s="6"/>
      <c r="P243" s="7">
        <f t="shared" ref="P243:P251" si="33">M243-(F243+G243+H243+L243)</f>
        <v>-382.8</v>
      </c>
      <c r="Q243" s="3"/>
    </row>
    <row r="244" spans="1:17" ht="15" customHeight="1">
      <c r="A244" s="1">
        <v>44814</v>
      </c>
      <c r="B244" s="25" t="s">
        <v>70</v>
      </c>
      <c r="C244" s="3" t="s">
        <v>44</v>
      </c>
      <c r="D244" s="4" t="s">
        <v>486</v>
      </c>
      <c r="E244" s="1"/>
      <c r="F244" s="5">
        <v>148.69999999999999</v>
      </c>
      <c r="G244" s="5"/>
      <c r="H244" s="29">
        <f t="shared" si="31"/>
        <v>14.87</v>
      </c>
      <c r="I244" s="29"/>
      <c r="J244" s="1">
        <v>44834</v>
      </c>
      <c r="K244" s="5">
        <v>1.9</v>
      </c>
      <c r="L244" s="5">
        <f t="shared" si="32"/>
        <v>20.9</v>
      </c>
      <c r="M244" s="5"/>
      <c r="N244" s="1"/>
      <c r="O244" s="6"/>
      <c r="P244" s="7">
        <f t="shared" si="33"/>
        <v>-184.47</v>
      </c>
      <c r="Q244" s="3"/>
    </row>
    <row r="245" spans="1:17" ht="15" customHeight="1">
      <c r="A245" s="1">
        <v>44817</v>
      </c>
      <c r="B245" s="25" t="s">
        <v>41</v>
      </c>
      <c r="C245" s="3" t="s">
        <v>232</v>
      </c>
      <c r="D245" s="4" t="s">
        <v>490</v>
      </c>
      <c r="E245" s="1"/>
      <c r="F245" s="5">
        <v>109.39</v>
      </c>
      <c r="G245" s="5"/>
      <c r="H245" s="29">
        <f t="shared" si="31"/>
        <v>10.939</v>
      </c>
      <c r="I245" s="29"/>
      <c r="J245" s="1">
        <v>44834</v>
      </c>
      <c r="K245" s="5">
        <v>0.7</v>
      </c>
      <c r="L245" s="5">
        <f t="shared" si="32"/>
        <v>7.6999999999999993</v>
      </c>
      <c r="M245" s="5">
        <v>125</v>
      </c>
      <c r="N245" s="1">
        <v>44842</v>
      </c>
      <c r="O245" s="6"/>
      <c r="P245" s="7">
        <f t="shared" si="33"/>
        <v>-3.0289999999999964</v>
      </c>
      <c r="Q245" s="3"/>
    </row>
    <row r="246" spans="1:17">
      <c r="A246" s="1">
        <v>44819</v>
      </c>
      <c r="B246" s="25" t="s">
        <v>99</v>
      </c>
      <c r="C246" s="3" t="s">
        <v>89</v>
      </c>
      <c r="D246" s="4" t="s">
        <v>495</v>
      </c>
      <c r="E246" s="1"/>
      <c r="F246" s="5">
        <v>466</v>
      </c>
      <c r="G246" s="5"/>
      <c r="H246" s="29">
        <f t="shared" si="31"/>
        <v>46.6</v>
      </c>
      <c r="I246" s="29"/>
      <c r="J246" s="1">
        <v>44834</v>
      </c>
      <c r="K246" s="5">
        <v>0</v>
      </c>
      <c r="L246" s="5">
        <f t="shared" si="32"/>
        <v>0</v>
      </c>
      <c r="M246" s="5">
        <v>540</v>
      </c>
      <c r="N246" s="1">
        <v>44867</v>
      </c>
      <c r="O246" s="6"/>
      <c r="P246" s="7">
        <f t="shared" si="33"/>
        <v>27.399999999999977</v>
      </c>
      <c r="Q246" s="3"/>
    </row>
    <row r="247" spans="1:17" ht="15" customHeight="1">
      <c r="A247" s="1">
        <v>44819</v>
      </c>
      <c r="B247" s="25" t="s">
        <v>498</v>
      </c>
      <c r="C247" s="3" t="s">
        <v>497</v>
      </c>
      <c r="D247" s="4" t="s">
        <v>496</v>
      </c>
      <c r="E247" s="1"/>
      <c r="F247" s="5">
        <v>208.37</v>
      </c>
      <c r="G247" s="5"/>
      <c r="H247" s="29">
        <f t="shared" si="31"/>
        <v>20.837</v>
      </c>
      <c r="I247" s="29">
        <v>8</v>
      </c>
      <c r="J247" s="1">
        <v>44848</v>
      </c>
      <c r="K247" s="5">
        <v>17.3</v>
      </c>
      <c r="L247" s="5">
        <f t="shared" si="32"/>
        <v>190.3</v>
      </c>
      <c r="M247" s="5">
        <v>800</v>
      </c>
      <c r="N247" s="1">
        <v>44830</v>
      </c>
      <c r="O247" s="6"/>
      <c r="P247" s="7">
        <f t="shared" si="33"/>
        <v>380.49299999999999</v>
      </c>
      <c r="Q247" s="3"/>
    </row>
    <row r="248" spans="1:17" ht="15" customHeight="1">
      <c r="A248" s="1">
        <v>44819</v>
      </c>
      <c r="B248" s="25" t="s">
        <v>500</v>
      </c>
      <c r="C248" s="3" t="s">
        <v>497</v>
      </c>
      <c r="D248" s="4" t="s">
        <v>499</v>
      </c>
      <c r="E248" s="1"/>
      <c r="F248" s="5">
        <v>485.49</v>
      </c>
      <c r="G248" s="5"/>
      <c r="H248" s="29">
        <f t="shared" si="31"/>
        <v>48.548999999999999</v>
      </c>
      <c r="I248" s="29">
        <v>19</v>
      </c>
      <c r="J248" s="1">
        <v>44841</v>
      </c>
      <c r="K248" s="5">
        <v>1.6</v>
      </c>
      <c r="L248" s="5">
        <f t="shared" si="32"/>
        <v>17.600000000000001</v>
      </c>
      <c r="M248" s="5">
        <v>200</v>
      </c>
      <c r="N248" s="1">
        <v>44850</v>
      </c>
      <c r="O248" s="6"/>
      <c r="P248" s="7">
        <f t="shared" si="33"/>
        <v>-351.63900000000001</v>
      </c>
      <c r="Q248" s="3"/>
    </row>
    <row r="249" spans="1:17" ht="15" customHeight="1">
      <c r="A249" s="1">
        <v>44819</v>
      </c>
      <c r="B249" s="25" t="s">
        <v>41</v>
      </c>
      <c r="C249" s="3" t="s">
        <v>132</v>
      </c>
      <c r="D249" s="4" t="s">
        <v>501</v>
      </c>
      <c r="E249" s="1"/>
      <c r="F249" s="5">
        <v>64.42</v>
      </c>
      <c r="G249" s="5"/>
      <c r="H249" s="29">
        <f t="shared" si="31"/>
        <v>6.4420000000000002</v>
      </c>
      <c r="I249" s="5"/>
      <c r="J249" s="1">
        <v>44853</v>
      </c>
      <c r="K249" s="5">
        <v>0.35</v>
      </c>
      <c r="L249" s="5">
        <f t="shared" si="32"/>
        <v>3.8499999999999996</v>
      </c>
      <c r="M249" s="5">
        <v>200</v>
      </c>
      <c r="N249" s="1">
        <v>44856</v>
      </c>
      <c r="O249" s="6"/>
      <c r="P249" s="7">
        <f t="shared" si="33"/>
        <v>125.28800000000001</v>
      </c>
      <c r="Q249" s="3"/>
    </row>
    <row r="250" spans="1:17" ht="15" customHeight="1">
      <c r="A250" s="1">
        <v>44819</v>
      </c>
      <c r="B250" s="25" t="s">
        <v>41</v>
      </c>
      <c r="C250" s="3" t="s">
        <v>145</v>
      </c>
      <c r="D250" s="4" t="s">
        <v>502</v>
      </c>
      <c r="E250" s="1"/>
      <c r="F250" s="5">
        <v>10.99</v>
      </c>
      <c r="G250" s="5"/>
      <c r="H250" s="29">
        <f t="shared" si="31"/>
        <v>1.099</v>
      </c>
      <c r="I250" s="29"/>
      <c r="J250" s="1">
        <v>44834</v>
      </c>
      <c r="K250" s="5">
        <v>0.15</v>
      </c>
      <c r="L250" s="5">
        <f t="shared" si="32"/>
        <v>1.65</v>
      </c>
      <c r="M250" s="5">
        <v>12.1</v>
      </c>
      <c r="N250" s="1">
        <v>44819</v>
      </c>
      <c r="O250" s="6"/>
      <c r="P250" s="7">
        <f t="shared" si="33"/>
        <v>-1.6390000000000011</v>
      </c>
      <c r="Q250" s="3"/>
    </row>
    <row r="251" spans="1:17">
      <c r="A251" s="1">
        <v>44817</v>
      </c>
      <c r="B251" s="25" t="s">
        <v>17</v>
      </c>
      <c r="C251" s="3" t="s">
        <v>39</v>
      </c>
      <c r="D251" s="4" t="s">
        <v>503</v>
      </c>
      <c r="E251" s="1"/>
      <c r="F251" s="5">
        <v>59.81</v>
      </c>
      <c r="G251" s="5"/>
      <c r="H251" s="29">
        <f t="shared" si="31"/>
        <v>5.9810000000000008</v>
      </c>
      <c r="I251" s="29">
        <v>8</v>
      </c>
      <c r="J251" s="1">
        <v>44834</v>
      </c>
      <c r="K251" s="5">
        <v>1.45</v>
      </c>
      <c r="L251" s="5">
        <f t="shared" si="32"/>
        <v>15.95</v>
      </c>
      <c r="M251" s="5">
        <v>8.34</v>
      </c>
      <c r="N251" s="1">
        <v>44837</v>
      </c>
      <c r="O251" s="6"/>
      <c r="P251" s="7">
        <f t="shared" si="33"/>
        <v>-73.400999999999996</v>
      </c>
      <c r="Q251" s="3"/>
    </row>
    <row r="252" spans="1:17">
      <c r="A252" s="1">
        <v>44817</v>
      </c>
      <c r="B252" s="25" t="s">
        <v>51</v>
      </c>
      <c r="C252" s="3" t="s">
        <v>268</v>
      </c>
      <c r="D252" s="4" t="s">
        <v>504</v>
      </c>
      <c r="E252" s="1"/>
      <c r="F252" s="5">
        <v>64.41</v>
      </c>
      <c r="G252" s="5"/>
      <c r="H252" s="29">
        <f t="shared" ref="H252:H269" si="34">(F252/100)*10</f>
        <v>6.4409999999999998</v>
      </c>
      <c r="I252" s="29">
        <v>2.56</v>
      </c>
      <c r="J252" s="1">
        <v>44848</v>
      </c>
      <c r="K252" s="5">
        <v>1.4</v>
      </c>
      <c r="L252" s="5">
        <f t="shared" ref="L252:L270" si="35">K252*11</f>
        <v>15.399999999999999</v>
      </c>
      <c r="M252" s="5">
        <f>64.41+21.84</f>
        <v>86.25</v>
      </c>
      <c r="N252" s="1">
        <v>44817</v>
      </c>
      <c r="O252" s="6"/>
      <c r="P252" s="7">
        <f t="shared" ref="P252:P270" si="36">M252-(F252+G252+H252+L252)</f>
        <v>-1.0000000000047748E-3</v>
      </c>
      <c r="Q252" s="3"/>
    </row>
    <row r="253" spans="1:17" ht="15" customHeight="1">
      <c r="A253" s="1">
        <v>44817</v>
      </c>
      <c r="B253" s="25" t="s">
        <v>60</v>
      </c>
      <c r="C253" s="3" t="s">
        <v>506</v>
      </c>
      <c r="D253" s="4" t="s">
        <v>505</v>
      </c>
      <c r="E253" s="1"/>
      <c r="F253" s="5">
        <v>78.95</v>
      </c>
      <c r="G253" s="5"/>
      <c r="H253" s="29">
        <f t="shared" si="34"/>
        <v>7.8949999999999996</v>
      </c>
      <c r="I253" s="29"/>
      <c r="J253" s="1">
        <v>44834</v>
      </c>
      <c r="K253" s="5">
        <v>1.3</v>
      </c>
      <c r="L253" s="5">
        <f t="shared" si="35"/>
        <v>14.3</v>
      </c>
      <c r="M253" s="5">
        <f>100+1.15</f>
        <v>101.15</v>
      </c>
      <c r="N253" s="1">
        <v>44824</v>
      </c>
      <c r="O253" s="6"/>
      <c r="P253" s="7">
        <f t="shared" si="36"/>
        <v>5.0000000000096634E-3</v>
      </c>
      <c r="Q253" s="3"/>
    </row>
    <row r="254" spans="1:17" ht="15" customHeight="1">
      <c r="A254" s="1">
        <v>44817</v>
      </c>
      <c r="B254" s="45" t="s">
        <v>41</v>
      </c>
      <c r="C254" s="46" t="s">
        <v>145</v>
      </c>
      <c r="D254" s="47" t="s">
        <v>507</v>
      </c>
      <c r="E254" s="1"/>
      <c r="F254" s="5"/>
      <c r="G254" s="5"/>
      <c r="H254" s="5">
        <f t="shared" si="34"/>
        <v>0</v>
      </c>
      <c r="I254" s="5"/>
      <c r="J254" s="1"/>
      <c r="K254" s="5"/>
      <c r="L254" s="5">
        <f t="shared" si="35"/>
        <v>0</v>
      </c>
      <c r="M254" s="5">
        <v>7.15</v>
      </c>
      <c r="N254" s="1">
        <v>44837</v>
      </c>
      <c r="O254" s="6"/>
      <c r="P254" s="7">
        <f t="shared" si="36"/>
        <v>7.15</v>
      </c>
      <c r="Q254" s="3"/>
    </row>
    <row r="255" spans="1:17" ht="15" customHeight="1">
      <c r="A255" s="1">
        <v>44819</v>
      </c>
      <c r="B255" s="25" t="s">
        <v>60</v>
      </c>
      <c r="C255" s="3" t="s">
        <v>509</v>
      </c>
      <c r="D255" s="4" t="s">
        <v>510</v>
      </c>
      <c r="E255" s="1"/>
      <c r="F255" s="5">
        <v>192</v>
      </c>
      <c r="G255" s="5"/>
      <c r="H255" s="29">
        <f t="shared" si="34"/>
        <v>19.2</v>
      </c>
      <c r="I255" s="29">
        <v>28</v>
      </c>
      <c r="J255" s="1">
        <v>44841</v>
      </c>
      <c r="K255" s="5">
        <v>3.3</v>
      </c>
      <c r="L255" s="5">
        <f t="shared" si="35"/>
        <v>36.299999999999997</v>
      </c>
      <c r="M255" s="5">
        <v>300</v>
      </c>
      <c r="N255" s="1">
        <v>44824</v>
      </c>
      <c r="O255" s="6"/>
      <c r="P255" s="7">
        <f t="shared" si="36"/>
        <v>52.5</v>
      </c>
      <c r="Q255" s="3"/>
    </row>
    <row r="256" spans="1:17" ht="15" customHeight="1">
      <c r="A256" s="1">
        <v>44819</v>
      </c>
      <c r="B256" s="25" t="s">
        <v>60</v>
      </c>
      <c r="C256" s="3" t="s">
        <v>512</v>
      </c>
      <c r="D256" s="4" t="s">
        <v>510</v>
      </c>
      <c r="E256" s="1"/>
      <c r="F256" s="5">
        <v>60</v>
      </c>
      <c r="G256" s="5"/>
      <c r="H256" s="29">
        <f t="shared" si="34"/>
        <v>6</v>
      </c>
      <c r="I256" s="29"/>
      <c r="J256" s="1">
        <v>44841</v>
      </c>
      <c r="K256" s="5">
        <v>2</v>
      </c>
      <c r="L256" s="5">
        <f t="shared" si="35"/>
        <v>22</v>
      </c>
      <c r="M256" s="5">
        <f>60+28</f>
        <v>88</v>
      </c>
      <c r="N256" s="1">
        <v>44819</v>
      </c>
      <c r="O256" s="6"/>
      <c r="P256" s="7">
        <f t="shared" si="36"/>
        <v>0</v>
      </c>
      <c r="Q256" s="3"/>
    </row>
    <row r="257" spans="1:17" ht="15" customHeight="1">
      <c r="A257" s="1">
        <v>44820</v>
      </c>
      <c r="B257" s="25" t="s">
        <v>70</v>
      </c>
      <c r="C257" s="3" t="s">
        <v>516</v>
      </c>
      <c r="D257" s="4" t="s">
        <v>515</v>
      </c>
      <c r="E257" s="1"/>
      <c r="F257" s="5">
        <v>0</v>
      </c>
      <c r="G257" s="5">
        <f t="shared" ref="G257" si="37">(F257/100)*4</f>
        <v>0</v>
      </c>
      <c r="H257" s="5">
        <f t="shared" si="34"/>
        <v>0</v>
      </c>
      <c r="I257" s="5"/>
      <c r="J257" s="1">
        <v>44841</v>
      </c>
      <c r="K257" s="5">
        <v>0</v>
      </c>
      <c r="L257" s="5">
        <f t="shared" si="35"/>
        <v>0</v>
      </c>
      <c r="M257" s="5"/>
      <c r="N257" s="1"/>
      <c r="O257" s="6"/>
      <c r="P257" s="7">
        <f t="shared" si="36"/>
        <v>0</v>
      </c>
      <c r="Q257" s="3"/>
    </row>
    <row r="258" spans="1:17">
      <c r="A258" s="1">
        <v>44821</v>
      </c>
      <c r="B258" s="25" t="s">
        <v>96</v>
      </c>
      <c r="C258" s="3" t="s">
        <v>28</v>
      </c>
      <c r="D258" s="4" t="s">
        <v>517</v>
      </c>
      <c r="E258" s="1">
        <v>44831</v>
      </c>
      <c r="F258" s="5">
        <v>249.75</v>
      </c>
      <c r="G258" s="5"/>
      <c r="H258" s="29">
        <f t="shared" si="34"/>
        <v>24.975000000000001</v>
      </c>
      <c r="I258" s="29"/>
      <c r="J258" s="1">
        <v>44848</v>
      </c>
      <c r="K258" s="5">
        <v>0</v>
      </c>
      <c r="L258" s="5">
        <f t="shared" si="35"/>
        <v>0</v>
      </c>
      <c r="M258" s="5"/>
      <c r="N258" s="1"/>
      <c r="O258" s="6"/>
      <c r="P258" s="7">
        <f t="shared" si="36"/>
        <v>-274.72500000000002</v>
      </c>
      <c r="Q258" s="3"/>
    </row>
    <row r="259" spans="1:17">
      <c r="A259" s="1">
        <v>44821</v>
      </c>
      <c r="B259" s="25" t="s">
        <v>279</v>
      </c>
      <c r="C259" s="3" t="s">
        <v>28</v>
      </c>
      <c r="D259" s="4" t="s">
        <v>518</v>
      </c>
      <c r="E259" s="1"/>
      <c r="F259" s="5">
        <v>176.36</v>
      </c>
      <c r="G259" s="5"/>
      <c r="H259" s="29">
        <f t="shared" si="34"/>
        <v>17.635999999999999</v>
      </c>
      <c r="I259" s="29"/>
      <c r="J259" s="1">
        <v>44848</v>
      </c>
      <c r="K259" s="5">
        <v>0</v>
      </c>
      <c r="L259" s="5">
        <f t="shared" si="35"/>
        <v>0</v>
      </c>
      <c r="M259" s="5"/>
      <c r="N259" s="1"/>
      <c r="O259" s="6"/>
      <c r="P259" s="7">
        <f t="shared" si="36"/>
        <v>-193.99600000000001</v>
      </c>
      <c r="Q259" s="3"/>
    </row>
    <row r="260" spans="1:17" ht="15" customHeight="1">
      <c r="A260" s="1">
        <v>44821</v>
      </c>
      <c r="B260" s="25" t="s">
        <v>211</v>
      </c>
      <c r="C260" s="3" t="s">
        <v>28</v>
      </c>
      <c r="D260" s="4" t="s">
        <v>519</v>
      </c>
      <c r="E260" s="1"/>
      <c r="F260" s="5">
        <v>58</v>
      </c>
      <c r="G260" s="5"/>
      <c r="H260" s="29">
        <f t="shared" si="34"/>
        <v>5.8</v>
      </c>
      <c r="I260" s="5"/>
      <c r="J260" s="1">
        <v>44841</v>
      </c>
      <c r="K260" s="5">
        <v>0</v>
      </c>
      <c r="L260" s="5">
        <f t="shared" si="35"/>
        <v>0</v>
      </c>
      <c r="M260" s="5"/>
      <c r="N260" s="1"/>
      <c r="O260" s="6"/>
      <c r="P260" s="7">
        <f t="shared" si="36"/>
        <v>-63.8</v>
      </c>
      <c r="Q260" s="3"/>
    </row>
    <row r="261" spans="1:17" ht="15" customHeight="1">
      <c r="A261" s="1">
        <v>44821</v>
      </c>
      <c r="B261" s="25" t="s">
        <v>521</v>
      </c>
      <c r="C261" s="3" t="s">
        <v>28</v>
      </c>
      <c r="D261" s="4" t="s">
        <v>520</v>
      </c>
      <c r="E261" s="1"/>
      <c r="F261" s="5">
        <v>36</v>
      </c>
      <c r="G261" s="5"/>
      <c r="H261" s="29">
        <f t="shared" si="34"/>
        <v>3.5999999999999996</v>
      </c>
      <c r="I261" s="29"/>
      <c r="J261" s="1">
        <v>44841</v>
      </c>
      <c r="K261" s="5">
        <v>0</v>
      </c>
      <c r="L261" s="5">
        <f t="shared" si="35"/>
        <v>0</v>
      </c>
      <c r="M261" s="5"/>
      <c r="N261" s="1"/>
      <c r="O261" s="6"/>
      <c r="P261" s="7">
        <f t="shared" si="36"/>
        <v>-39.6</v>
      </c>
      <c r="Q261" s="3"/>
    </row>
    <row r="262" spans="1:17" ht="15" customHeight="1">
      <c r="A262" s="1">
        <v>44821</v>
      </c>
      <c r="B262" s="25" t="s">
        <v>215</v>
      </c>
      <c r="C262" s="3" t="s">
        <v>28</v>
      </c>
      <c r="D262" s="4" t="s">
        <v>541</v>
      </c>
      <c r="E262" s="1"/>
      <c r="F262" s="5">
        <v>128</v>
      </c>
      <c r="G262" s="5"/>
      <c r="H262" s="29">
        <f t="shared" si="34"/>
        <v>12.8</v>
      </c>
      <c r="I262" s="5"/>
      <c r="J262" s="1">
        <v>44841</v>
      </c>
      <c r="K262" s="5">
        <v>0</v>
      </c>
      <c r="L262" s="5">
        <f t="shared" si="35"/>
        <v>0</v>
      </c>
      <c r="M262" s="5"/>
      <c r="N262" s="1"/>
      <c r="O262" s="6"/>
      <c r="P262" s="7">
        <f t="shared" si="36"/>
        <v>-140.80000000000001</v>
      </c>
      <c r="Q262" s="3" t="s">
        <v>303</v>
      </c>
    </row>
    <row r="263" spans="1:17" ht="15" customHeight="1">
      <c r="A263" s="1">
        <v>44821</v>
      </c>
      <c r="B263" s="25" t="s">
        <v>215</v>
      </c>
      <c r="C263" s="3" t="s">
        <v>28</v>
      </c>
      <c r="D263" s="4" t="s">
        <v>541</v>
      </c>
      <c r="E263" s="1"/>
      <c r="F263" s="5"/>
      <c r="G263" s="5"/>
      <c r="H263" s="29">
        <f t="shared" ref="H263" si="38">(F263/100)*10</f>
        <v>0</v>
      </c>
      <c r="I263" s="5"/>
      <c r="J263" s="1">
        <v>44848</v>
      </c>
      <c r="K263" s="5">
        <v>0</v>
      </c>
      <c r="L263" s="5">
        <f t="shared" ref="L263" si="39">K263*11</f>
        <v>0</v>
      </c>
      <c r="M263" s="5"/>
      <c r="N263" s="1"/>
      <c r="O263" s="6"/>
      <c r="P263" s="7">
        <f t="shared" ref="P263" si="40">M263-(F263+G263+H263+L263)</f>
        <v>0</v>
      </c>
      <c r="Q263" s="3" t="s">
        <v>303</v>
      </c>
    </row>
    <row r="264" spans="1:17" ht="15" customHeight="1">
      <c r="A264" s="1">
        <v>44821</v>
      </c>
      <c r="B264" s="25" t="s">
        <v>215</v>
      </c>
      <c r="C264" s="3" t="s">
        <v>28</v>
      </c>
      <c r="D264" s="4" t="s">
        <v>541</v>
      </c>
      <c r="E264" s="1"/>
      <c r="F264" s="5"/>
      <c r="G264" s="5"/>
      <c r="H264" s="29">
        <f t="shared" ref="H264" si="41">(F264/100)*10</f>
        <v>0</v>
      </c>
      <c r="I264" s="5"/>
      <c r="J264" s="1">
        <v>44867</v>
      </c>
      <c r="K264" s="5">
        <v>4.0999999999999996</v>
      </c>
      <c r="L264" s="5">
        <f t="shared" ref="L264" si="42">K264*11</f>
        <v>45.099999999999994</v>
      </c>
      <c r="M264" s="5"/>
      <c r="N264" s="1"/>
      <c r="O264" s="6"/>
      <c r="P264" s="7">
        <f t="shared" ref="P264" si="43">M264-(F264+G264+H264+L264)</f>
        <v>-45.099999999999994</v>
      </c>
      <c r="Q264" s="3" t="s">
        <v>303</v>
      </c>
    </row>
    <row r="265" spans="1:17">
      <c r="A265" s="1">
        <v>44821</v>
      </c>
      <c r="B265" s="25" t="s">
        <v>17</v>
      </c>
      <c r="C265" s="3" t="s">
        <v>119</v>
      </c>
      <c r="D265" s="4" t="s">
        <v>522</v>
      </c>
      <c r="E265" s="1"/>
      <c r="F265" s="5">
        <v>57.5</v>
      </c>
      <c r="G265" s="5"/>
      <c r="H265" s="29">
        <f t="shared" si="34"/>
        <v>5.75</v>
      </c>
      <c r="I265" s="29"/>
      <c r="J265" s="1">
        <v>44834</v>
      </c>
      <c r="K265" s="5">
        <v>0.7</v>
      </c>
      <c r="L265" s="5">
        <f t="shared" si="35"/>
        <v>7.6999999999999993</v>
      </c>
      <c r="M265" s="5">
        <f>230+6.93</f>
        <v>236.93</v>
      </c>
      <c r="N265" s="1">
        <v>44832</v>
      </c>
      <c r="O265" s="6"/>
      <c r="P265" s="7">
        <f t="shared" si="36"/>
        <v>165.98000000000002</v>
      </c>
      <c r="Q265" s="3"/>
    </row>
    <row r="266" spans="1:17" ht="15" customHeight="1">
      <c r="A266" s="1">
        <v>44821</v>
      </c>
      <c r="B266" s="25" t="s">
        <v>70</v>
      </c>
      <c r="C266" s="3" t="s">
        <v>28</v>
      </c>
      <c r="D266" s="4" t="s">
        <v>523</v>
      </c>
      <c r="E266" s="1"/>
      <c r="F266" s="5">
        <v>37.93</v>
      </c>
      <c r="G266" s="5"/>
      <c r="H266" s="29">
        <f t="shared" si="34"/>
        <v>3.7929999999999997</v>
      </c>
      <c r="I266" s="5"/>
      <c r="J266" s="1">
        <v>44848</v>
      </c>
      <c r="K266" s="5">
        <v>0</v>
      </c>
      <c r="L266" s="5">
        <f t="shared" si="35"/>
        <v>0</v>
      </c>
      <c r="M266" s="5"/>
      <c r="N266" s="1"/>
      <c r="O266" s="6"/>
      <c r="P266" s="7">
        <f t="shared" si="36"/>
        <v>-41.722999999999999</v>
      </c>
      <c r="Q266" s="3"/>
    </row>
    <row r="267" spans="1:17">
      <c r="A267" s="1">
        <v>44821</v>
      </c>
      <c r="B267" s="25" t="s">
        <v>525</v>
      </c>
      <c r="C267" s="3" t="s">
        <v>28</v>
      </c>
      <c r="D267" s="4" t="s">
        <v>524</v>
      </c>
      <c r="E267" s="1"/>
      <c r="F267" s="5">
        <v>32.26</v>
      </c>
      <c r="G267" s="5"/>
      <c r="H267" s="29">
        <f t="shared" si="34"/>
        <v>3.226</v>
      </c>
      <c r="I267" s="5"/>
      <c r="J267" s="1">
        <v>44841</v>
      </c>
      <c r="K267" s="5">
        <v>0</v>
      </c>
      <c r="L267" s="5">
        <f t="shared" si="35"/>
        <v>0</v>
      </c>
      <c r="M267" s="5"/>
      <c r="N267" s="1"/>
      <c r="O267" s="6"/>
      <c r="P267" s="7">
        <f t="shared" si="36"/>
        <v>-35.485999999999997</v>
      </c>
      <c r="Q267" s="3"/>
    </row>
    <row r="268" spans="1:17">
      <c r="A268" s="1">
        <v>44821</v>
      </c>
      <c r="B268" s="25" t="s">
        <v>527</v>
      </c>
      <c r="C268" s="3" t="s">
        <v>28</v>
      </c>
      <c r="D268" s="4" t="s">
        <v>526</v>
      </c>
      <c r="E268" s="1"/>
      <c r="F268" s="5">
        <v>83.72</v>
      </c>
      <c r="G268" s="5"/>
      <c r="H268" s="29">
        <f t="shared" si="34"/>
        <v>8.3719999999999999</v>
      </c>
      <c r="I268" s="5"/>
      <c r="J268" s="1">
        <v>44848</v>
      </c>
      <c r="K268" s="5">
        <v>0</v>
      </c>
      <c r="L268" s="5">
        <f t="shared" si="35"/>
        <v>0</v>
      </c>
      <c r="M268" s="5"/>
      <c r="N268" s="1"/>
      <c r="O268" s="6"/>
      <c r="P268" s="7">
        <f t="shared" si="36"/>
        <v>-92.091999999999999</v>
      </c>
      <c r="Q268" s="3"/>
    </row>
    <row r="269" spans="1:17">
      <c r="A269" s="38">
        <v>44821</v>
      </c>
      <c r="B269" s="39" t="s">
        <v>529</v>
      </c>
      <c r="C269" s="40" t="s">
        <v>28</v>
      </c>
      <c r="D269" s="27" t="s">
        <v>528</v>
      </c>
      <c r="E269" s="1"/>
      <c r="F269" s="5"/>
      <c r="G269" s="5"/>
      <c r="H269" s="5">
        <f t="shared" si="34"/>
        <v>0</v>
      </c>
      <c r="I269" s="5"/>
      <c r="J269" s="1"/>
      <c r="K269" s="5"/>
      <c r="L269" s="5">
        <f t="shared" si="35"/>
        <v>0</v>
      </c>
      <c r="M269" s="5"/>
      <c r="N269" s="1"/>
      <c r="O269" s="6"/>
      <c r="P269" s="7">
        <f t="shared" si="36"/>
        <v>0</v>
      </c>
      <c r="Q269" s="3"/>
    </row>
    <row r="270" spans="1:17" ht="15" customHeight="1">
      <c r="A270" s="1">
        <v>44821</v>
      </c>
      <c r="B270" s="2" t="s">
        <v>41</v>
      </c>
      <c r="C270" s="3" t="s">
        <v>69</v>
      </c>
      <c r="D270" s="44" t="s">
        <v>530</v>
      </c>
      <c r="E270" s="1"/>
      <c r="F270" s="5">
        <f>243.67+22.52</f>
        <v>266.19</v>
      </c>
      <c r="G270" s="5"/>
      <c r="H270" s="29">
        <v>24.37</v>
      </c>
      <c r="I270" s="5"/>
      <c r="J270" s="1">
        <v>44848</v>
      </c>
      <c r="K270" s="5">
        <v>1.4</v>
      </c>
      <c r="L270" s="5">
        <f t="shared" si="35"/>
        <v>15.399999999999999</v>
      </c>
      <c r="M270" s="5"/>
      <c r="N270" s="1"/>
      <c r="O270" s="6"/>
      <c r="P270" s="7">
        <f t="shared" si="36"/>
        <v>-305.95999999999998</v>
      </c>
      <c r="Q270" s="3" t="s">
        <v>627</v>
      </c>
    </row>
    <row r="271" spans="1:17" ht="15" customHeight="1">
      <c r="A271" s="1">
        <v>44822</v>
      </c>
      <c r="B271" s="25" t="s">
        <v>51</v>
      </c>
      <c r="C271" s="3" t="s">
        <v>61</v>
      </c>
      <c r="D271" s="4" t="s">
        <v>531</v>
      </c>
      <c r="E271" s="1"/>
      <c r="F271" s="5">
        <v>294</v>
      </c>
      <c r="G271" s="5"/>
      <c r="H271" s="29">
        <f t="shared" ref="H271:H281" si="44">(F271/100)*10</f>
        <v>29.4</v>
      </c>
      <c r="I271" s="5"/>
      <c r="J271" s="1">
        <v>44853</v>
      </c>
      <c r="K271" s="5">
        <v>1.8</v>
      </c>
      <c r="L271" s="5">
        <f t="shared" ref="L271:L281" si="45">K271*11</f>
        <v>19.8</v>
      </c>
      <c r="M271" s="5">
        <v>350</v>
      </c>
      <c r="N271" s="1">
        <v>44824</v>
      </c>
      <c r="O271" s="6"/>
      <c r="P271" s="7">
        <f t="shared" ref="P271:P281" si="46">M271-(F271+G271+H271+L271)</f>
        <v>6.8000000000000114</v>
      </c>
      <c r="Q271" s="3" t="s">
        <v>655</v>
      </c>
    </row>
    <row r="272" spans="1:17" ht="15" customHeight="1">
      <c r="A272" s="1">
        <v>44822</v>
      </c>
      <c r="B272" s="25" t="s">
        <v>51</v>
      </c>
      <c r="C272" s="3" t="s">
        <v>61</v>
      </c>
      <c r="D272" s="4" t="s">
        <v>531</v>
      </c>
      <c r="E272" s="1"/>
      <c r="F272" s="5"/>
      <c r="G272" s="5"/>
      <c r="H272" s="5">
        <f t="shared" ref="H272" si="47">(F272/100)*10</f>
        <v>0</v>
      </c>
      <c r="I272" s="5"/>
      <c r="J272" s="1">
        <v>44856</v>
      </c>
      <c r="K272" s="5">
        <v>0.8</v>
      </c>
      <c r="L272" s="5">
        <f t="shared" ref="L272" si="48">K272*11</f>
        <v>8.8000000000000007</v>
      </c>
      <c r="M272" s="5"/>
      <c r="N272" s="1"/>
      <c r="O272" s="6"/>
      <c r="P272" s="7">
        <f t="shared" ref="P272" si="49">M272-(F272+G272+H272+L272)</f>
        <v>-8.8000000000000007</v>
      </c>
      <c r="Q272" s="3">
        <v>4</v>
      </c>
    </row>
    <row r="273" spans="1:17">
      <c r="A273" s="1">
        <v>44822</v>
      </c>
      <c r="B273" s="25" t="s">
        <v>475</v>
      </c>
      <c r="C273" s="3" t="s">
        <v>39</v>
      </c>
      <c r="D273" s="4" t="s">
        <v>532</v>
      </c>
      <c r="E273" s="1"/>
      <c r="F273" s="5">
        <v>30</v>
      </c>
      <c r="G273" s="5"/>
      <c r="H273" s="29">
        <f t="shared" si="44"/>
        <v>3</v>
      </c>
      <c r="I273" s="29"/>
      <c r="J273" s="1">
        <v>44841</v>
      </c>
      <c r="K273" s="5">
        <v>0.9</v>
      </c>
      <c r="L273" s="5">
        <f t="shared" si="45"/>
        <v>9.9</v>
      </c>
      <c r="M273" s="5">
        <v>10</v>
      </c>
      <c r="N273" s="1">
        <v>44842</v>
      </c>
      <c r="O273" s="6"/>
      <c r="P273" s="7">
        <f t="shared" si="46"/>
        <v>-32.9</v>
      </c>
      <c r="Q273" s="3"/>
    </row>
    <row r="274" spans="1:17" ht="15" customHeight="1">
      <c r="A274" s="1">
        <v>44823</v>
      </c>
      <c r="B274" s="25" t="s">
        <v>60</v>
      </c>
      <c r="C274" s="3" t="s">
        <v>509</v>
      </c>
      <c r="D274" s="4" t="s">
        <v>533</v>
      </c>
      <c r="E274" s="1"/>
      <c r="F274" s="5">
        <v>78</v>
      </c>
      <c r="G274" s="5"/>
      <c r="H274" s="29">
        <f t="shared" si="44"/>
        <v>7.8000000000000007</v>
      </c>
      <c r="I274" s="29"/>
      <c r="J274" s="1">
        <v>44841</v>
      </c>
      <c r="K274" s="5">
        <v>0</v>
      </c>
      <c r="L274" s="5">
        <f t="shared" si="45"/>
        <v>0</v>
      </c>
      <c r="M274" s="5">
        <v>33.299999999999997</v>
      </c>
      <c r="N274" s="1">
        <v>44842</v>
      </c>
      <c r="O274" s="6"/>
      <c r="P274" s="7">
        <f t="shared" si="46"/>
        <v>-52.5</v>
      </c>
      <c r="Q274" s="3"/>
    </row>
    <row r="275" spans="1:17" ht="15" customHeight="1">
      <c r="A275" s="1">
        <v>44823</v>
      </c>
      <c r="B275" s="25" t="s">
        <v>60</v>
      </c>
      <c r="C275" s="3" t="s">
        <v>64</v>
      </c>
      <c r="D275" s="4" t="s">
        <v>533</v>
      </c>
      <c r="E275" s="1"/>
      <c r="F275" s="5">
        <v>74</v>
      </c>
      <c r="G275" s="5"/>
      <c r="H275" s="29">
        <f t="shared" si="44"/>
        <v>7.4</v>
      </c>
      <c r="I275" s="29"/>
      <c r="J275" s="1">
        <v>44841</v>
      </c>
      <c r="K275" s="5">
        <v>0.25</v>
      </c>
      <c r="L275" s="5">
        <f t="shared" si="45"/>
        <v>2.75</v>
      </c>
      <c r="M275" s="5"/>
      <c r="N275" s="1"/>
      <c r="O275" s="6"/>
      <c r="P275" s="7">
        <f t="shared" si="46"/>
        <v>-84.15</v>
      </c>
      <c r="Q275" s="3"/>
    </row>
    <row r="276" spans="1:17">
      <c r="A276" s="1">
        <v>44821</v>
      </c>
      <c r="B276" s="25" t="s">
        <v>390</v>
      </c>
      <c r="C276" s="3" t="s">
        <v>28</v>
      </c>
      <c r="D276" s="36" t="s">
        <v>534</v>
      </c>
      <c r="E276" s="1"/>
      <c r="F276" s="5">
        <v>130.19999999999999</v>
      </c>
      <c r="G276" s="5"/>
      <c r="H276" s="29">
        <f t="shared" si="44"/>
        <v>13.019999999999998</v>
      </c>
      <c r="I276" s="29">
        <v>19.5</v>
      </c>
      <c r="J276" s="1">
        <v>44848</v>
      </c>
      <c r="K276" s="5">
        <v>0</v>
      </c>
      <c r="L276" s="5">
        <f t="shared" si="45"/>
        <v>0</v>
      </c>
      <c r="M276" s="5"/>
      <c r="N276" s="1"/>
      <c r="O276" s="6"/>
      <c r="P276" s="7">
        <f t="shared" si="46"/>
        <v>-143.22</v>
      </c>
      <c r="Q276" s="3"/>
    </row>
    <row r="277" spans="1:17">
      <c r="A277" s="1">
        <v>44821</v>
      </c>
      <c r="B277" s="2" t="s">
        <v>536</v>
      </c>
      <c r="C277" s="3" t="s">
        <v>28</v>
      </c>
      <c r="D277" s="36" t="s">
        <v>535</v>
      </c>
      <c r="E277" s="1"/>
      <c r="F277" s="5">
        <v>334.8</v>
      </c>
      <c r="G277" s="5"/>
      <c r="H277" s="29">
        <f t="shared" si="44"/>
        <v>33.480000000000004</v>
      </c>
      <c r="I277" s="29">
        <v>-16.739999999999998</v>
      </c>
      <c r="J277" s="1">
        <v>44848</v>
      </c>
      <c r="K277" s="5">
        <v>0</v>
      </c>
      <c r="L277" s="5">
        <f t="shared" si="45"/>
        <v>0</v>
      </c>
      <c r="M277" s="5"/>
      <c r="N277" s="1"/>
      <c r="O277" s="6"/>
      <c r="P277" s="7">
        <f t="shared" si="46"/>
        <v>-368.28000000000003</v>
      </c>
      <c r="Q277" s="3"/>
    </row>
    <row r="278" spans="1:17" ht="15" customHeight="1">
      <c r="A278" s="1">
        <v>44823</v>
      </c>
      <c r="B278" s="25" t="s">
        <v>60</v>
      </c>
      <c r="C278" s="3" t="s">
        <v>39</v>
      </c>
      <c r="D278" s="4" t="s">
        <v>537</v>
      </c>
      <c r="E278" s="1"/>
      <c r="F278" s="5">
        <v>80.5</v>
      </c>
      <c r="G278" s="5"/>
      <c r="H278" s="29">
        <f t="shared" si="44"/>
        <v>8.0500000000000007</v>
      </c>
      <c r="I278" s="29"/>
      <c r="J278" s="1">
        <v>44841</v>
      </c>
      <c r="K278" s="5">
        <v>0</v>
      </c>
      <c r="L278" s="5">
        <f t="shared" si="45"/>
        <v>0</v>
      </c>
      <c r="M278" s="5">
        <v>40</v>
      </c>
      <c r="N278" s="1">
        <v>44856</v>
      </c>
      <c r="O278" s="6"/>
      <c r="P278" s="7">
        <f t="shared" si="46"/>
        <v>-48.55</v>
      </c>
      <c r="Q278" s="3"/>
    </row>
    <row r="279" spans="1:17">
      <c r="A279" s="1">
        <v>44824</v>
      </c>
      <c r="B279" s="2" t="s">
        <v>538</v>
      </c>
      <c r="C279" s="3" t="s">
        <v>274</v>
      </c>
      <c r="D279" s="4">
        <v>88930</v>
      </c>
      <c r="E279" s="1"/>
      <c r="F279" s="5">
        <v>150</v>
      </c>
      <c r="G279" s="5"/>
      <c r="H279" s="29">
        <f t="shared" si="44"/>
        <v>15</v>
      </c>
      <c r="I279" s="29">
        <v>-7.5</v>
      </c>
      <c r="J279" s="1">
        <v>44848</v>
      </c>
      <c r="K279" s="5">
        <v>1.2</v>
      </c>
      <c r="L279" s="5">
        <f t="shared" si="45"/>
        <v>13.2</v>
      </c>
      <c r="M279" s="5">
        <v>350</v>
      </c>
      <c r="N279" s="1">
        <v>44842</v>
      </c>
      <c r="O279" s="6"/>
      <c r="P279" s="7">
        <f t="shared" si="46"/>
        <v>171.8</v>
      </c>
      <c r="Q279" s="3"/>
    </row>
    <row r="280" spans="1:17" ht="15" customHeight="1">
      <c r="A280" s="1">
        <v>44825</v>
      </c>
      <c r="B280" s="25" t="s">
        <v>312</v>
      </c>
      <c r="C280" s="3" t="s">
        <v>28</v>
      </c>
      <c r="D280" s="4" t="s">
        <v>551</v>
      </c>
      <c r="E280" s="1"/>
      <c r="F280" s="5">
        <v>2290</v>
      </c>
      <c r="G280" s="5"/>
      <c r="H280" s="29">
        <f t="shared" si="44"/>
        <v>229</v>
      </c>
      <c r="I280" s="29"/>
      <c r="J280" s="1">
        <v>44841</v>
      </c>
      <c r="K280" s="5">
        <v>0</v>
      </c>
      <c r="L280" s="5">
        <f t="shared" si="45"/>
        <v>0</v>
      </c>
      <c r="M280" s="5"/>
      <c r="N280" s="1"/>
      <c r="O280" s="6"/>
      <c r="P280" s="7">
        <f t="shared" si="46"/>
        <v>-2519</v>
      </c>
      <c r="Q280" s="3"/>
    </row>
    <row r="281" spans="1:17" ht="15" customHeight="1">
      <c r="A281" s="1">
        <v>44825</v>
      </c>
      <c r="B281" s="25" t="s">
        <v>544</v>
      </c>
      <c r="C281" s="3" t="s">
        <v>28</v>
      </c>
      <c r="D281" s="4" t="s">
        <v>549</v>
      </c>
      <c r="E281" s="1" t="s">
        <v>585</v>
      </c>
      <c r="F281" s="5">
        <v>120</v>
      </c>
      <c r="G281" s="5"/>
      <c r="H281" s="29">
        <f t="shared" si="44"/>
        <v>12</v>
      </c>
      <c r="I281" s="5"/>
      <c r="J281" s="1">
        <v>44867</v>
      </c>
      <c r="K281" s="5">
        <v>0</v>
      </c>
      <c r="L281" s="5">
        <f t="shared" si="45"/>
        <v>0</v>
      </c>
      <c r="M281" s="5"/>
      <c r="N281" s="1"/>
      <c r="O281" s="6"/>
      <c r="P281" s="7">
        <f t="shared" si="46"/>
        <v>-132</v>
      </c>
      <c r="Q281" s="3"/>
    </row>
    <row r="282" spans="1:17" ht="15" customHeight="1">
      <c r="A282" s="1">
        <v>44825</v>
      </c>
      <c r="B282" s="2" t="s">
        <v>548</v>
      </c>
      <c r="C282" s="3" t="s">
        <v>28</v>
      </c>
      <c r="D282" s="36" t="s">
        <v>547</v>
      </c>
      <c r="E282" s="1"/>
      <c r="F282" s="5">
        <v>100</v>
      </c>
      <c r="G282" s="5"/>
      <c r="H282" s="29">
        <f t="shared" ref="H282:H301" si="50">(F282/100)*10</f>
        <v>10</v>
      </c>
      <c r="I282" s="29">
        <v>-11.96</v>
      </c>
      <c r="J282" s="1">
        <v>44848</v>
      </c>
      <c r="K282" s="5">
        <v>0</v>
      </c>
      <c r="L282" s="5">
        <f t="shared" ref="L282:L301" si="51">K282*11</f>
        <v>0</v>
      </c>
      <c r="M282" s="5"/>
      <c r="N282" s="1"/>
      <c r="O282" s="6"/>
      <c r="P282" s="7">
        <f t="shared" ref="P282:P301" si="52">M282-(F282+G282+H282+L282)</f>
        <v>-110</v>
      </c>
      <c r="Q282" s="3"/>
    </row>
    <row r="283" spans="1:17">
      <c r="A283" s="1">
        <v>44825</v>
      </c>
      <c r="B283" s="25" t="s">
        <v>546</v>
      </c>
      <c r="C283" s="3" t="s">
        <v>132</v>
      </c>
      <c r="D283" s="4" t="s">
        <v>545</v>
      </c>
      <c r="E283" s="1"/>
      <c r="F283" s="5">
        <v>505.1</v>
      </c>
      <c r="G283" s="5"/>
      <c r="H283" s="29">
        <f t="shared" si="50"/>
        <v>50.510000000000005</v>
      </c>
      <c r="I283" s="29"/>
      <c r="J283" s="1">
        <v>44848</v>
      </c>
      <c r="K283" s="5">
        <v>17</v>
      </c>
      <c r="L283" s="5">
        <f>K283*6.5</f>
        <v>110.5</v>
      </c>
      <c r="M283" s="5"/>
      <c r="N283" s="1"/>
      <c r="O283" s="6"/>
      <c r="P283" s="7">
        <f t="shared" si="52"/>
        <v>-666.11</v>
      </c>
      <c r="Q283" s="3"/>
    </row>
    <row r="284" spans="1:17" ht="15" customHeight="1">
      <c r="A284" s="1">
        <v>44827</v>
      </c>
      <c r="B284" s="25" t="s">
        <v>70</v>
      </c>
      <c r="C284" s="3" t="s">
        <v>69</v>
      </c>
      <c r="D284" s="4" t="s">
        <v>556</v>
      </c>
      <c r="E284" s="1"/>
      <c r="F284" s="5">
        <v>157.52000000000001</v>
      </c>
      <c r="G284" s="5"/>
      <c r="H284" s="29">
        <f t="shared" si="50"/>
        <v>15.752000000000002</v>
      </c>
      <c r="I284" s="5"/>
      <c r="J284" s="1">
        <v>44841</v>
      </c>
      <c r="K284" s="5">
        <v>1.1000000000000001</v>
      </c>
      <c r="L284" s="5">
        <f t="shared" si="51"/>
        <v>12.100000000000001</v>
      </c>
      <c r="M284" s="5"/>
      <c r="N284" s="1"/>
      <c r="O284" s="6"/>
      <c r="P284" s="7">
        <f t="shared" si="52"/>
        <v>-185.37200000000001</v>
      </c>
      <c r="Q284" s="3" t="s">
        <v>602</v>
      </c>
    </row>
    <row r="285" spans="1:17" ht="15" customHeight="1">
      <c r="A285" s="1">
        <v>44827</v>
      </c>
      <c r="B285" s="25" t="s">
        <v>70</v>
      </c>
      <c r="C285" s="3" t="s">
        <v>69</v>
      </c>
      <c r="D285" s="4" t="s">
        <v>556</v>
      </c>
      <c r="E285" s="1"/>
      <c r="F285" s="5"/>
      <c r="G285" s="5"/>
      <c r="H285" s="5">
        <f t="shared" ref="H285" si="53">(F285/100)*10</f>
        <v>0</v>
      </c>
      <c r="I285" s="5"/>
      <c r="J285" s="1">
        <v>44853</v>
      </c>
      <c r="K285" s="5">
        <v>1</v>
      </c>
      <c r="L285" s="5">
        <f t="shared" ref="L285" si="54">K285*11</f>
        <v>11</v>
      </c>
      <c r="M285" s="5"/>
      <c r="N285" s="1"/>
      <c r="O285" s="6"/>
      <c r="P285" s="7">
        <f t="shared" ref="P285" si="55">M285-(F285+G285+H285+L285)</f>
        <v>-11</v>
      </c>
      <c r="Q285" s="3">
        <v>1</v>
      </c>
    </row>
    <row r="286" spans="1:17" ht="15" customHeight="1">
      <c r="A286" s="1">
        <v>44828</v>
      </c>
      <c r="B286" s="25" t="s">
        <v>60</v>
      </c>
      <c r="C286" s="3" t="s">
        <v>64</v>
      </c>
      <c r="D286" s="4" t="s">
        <v>557</v>
      </c>
      <c r="E286" s="1"/>
      <c r="F286" s="5">
        <v>149.94999999999999</v>
      </c>
      <c r="G286" s="5"/>
      <c r="H286" s="29">
        <f t="shared" si="50"/>
        <v>14.994999999999997</v>
      </c>
      <c r="I286" s="29"/>
      <c r="J286" s="1">
        <v>44848</v>
      </c>
      <c r="K286" s="5">
        <v>0.6</v>
      </c>
      <c r="L286" s="5">
        <f t="shared" si="51"/>
        <v>6.6</v>
      </c>
      <c r="M286" s="5"/>
      <c r="N286" s="1"/>
      <c r="O286" s="6"/>
      <c r="P286" s="7">
        <f t="shared" si="52"/>
        <v>-171.54499999999999</v>
      </c>
      <c r="Q286" s="3"/>
    </row>
    <row r="287" spans="1:17">
      <c r="A287" s="1">
        <v>44828</v>
      </c>
      <c r="B287" s="25" t="s">
        <v>478</v>
      </c>
      <c r="C287" s="3" t="s">
        <v>559</v>
      </c>
      <c r="D287" s="4" t="s">
        <v>558</v>
      </c>
      <c r="E287" s="1"/>
      <c r="F287" s="5">
        <v>158</v>
      </c>
      <c r="G287" s="5"/>
      <c r="H287" s="29">
        <f t="shared" si="50"/>
        <v>15.8</v>
      </c>
      <c r="I287" s="29"/>
      <c r="J287" s="1">
        <v>44848</v>
      </c>
      <c r="K287" s="5">
        <v>0.9</v>
      </c>
      <c r="L287" s="5">
        <f t="shared" si="51"/>
        <v>9.9</v>
      </c>
      <c r="M287" s="5">
        <f>200-16</f>
        <v>184</v>
      </c>
      <c r="N287" s="1">
        <v>44830</v>
      </c>
      <c r="O287" s="6"/>
      <c r="P287" s="7">
        <f t="shared" si="52"/>
        <v>0.29999999999998295</v>
      </c>
      <c r="Q287" s="3"/>
    </row>
    <row r="288" spans="1:17" ht="15" customHeight="1">
      <c r="A288" s="1">
        <v>44830</v>
      </c>
      <c r="B288" s="25" t="s">
        <v>60</v>
      </c>
      <c r="C288" s="3" t="s">
        <v>89</v>
      </c>
      <c r="D288" s="4" t="s">
        <v>562</v>
      </c>
      <c r="E288" s="1"/>
      <c r="F288" s="5">
        <v>122.95</v>
      </c>
      <c r="G288" s="5"/>
      <c r="H288" s="29">
        <f t="shared" si="50"/>
        <v>12.295</v>
      </c>
      <c r="I288" s="29"/>
      <c r="J288" s="1">
        <v>44848</v>
      </c>
      <c r="K288" s="5">
        <v>2</v>
      </c>
      <c r="L288" s="5">
        <f t="shared" si="51"/>
        <v>22</v>
      </c>
      <c r="M288" s="5"/>
      <c r="N288" s="1"/>
      <c r="O288" s="6"/>
      <c r="P288" s="7">
        <f t="shared" si="52"/>
        <v>-157.245</v>
      </c>
      <c r="Q288" s="3"/>
    </row>
    <row r="289" spans="1:17">
      <c r="A289" s="1">
        <v>44830</v>
      </c>
      <c r="B289" s="25" t="s">
        <v>416</v>
      </c>
      <c r="C289" s="3" t="s">
        <v>89</v>
      </c>
      <c r="D289" s="4" t="s">
        <v>563</v>
      </c>
      <c r="E289" s="1"/>
      <c r="F289" s="5">
        <v>215.06</v>
      </c>
      <c r="G289" s="5"/>
      <c r="H289" s="29">
        <f t="shared" si="50"/>
        <v>21.506</v>
      </c>
      <c r="I289" s="29"/>
      <c r="J289" s="1">
        <v>44848</v>
      </c>
      <c r="K289" s="5">
        <v>0</v>
      </c>
      <c r="L289" s="5">
        <f t="shared" si="51"/>
        <v>0</v>
      </c>
      <c r="M289" s="5"/>
      <c r="N289" s="1"/>
      <c r="O289" s="6"/>
      <c r="P289" s="7">
        <f t="shared" si="52"/>
        <v>-236.566</v>
      </c>
      <c r="Q289" s="3"/>
    </row>
    <row r="290" spans="1:17" ht="15" customHeight="1">
      <c r="A290" s="1">
        <v>44830</v>
      </c>
      <c r="B290" s="2" t="s">
        <v>565</v>
      </c>
      <c r="C290" s="3" t="s">
        <v>28</v>
      </c>
      <c r="D290" s="4" t="s">
        <v>564</v>
      </c>
      <c r="E290" s="1"/>
      <c r="F290" s="5">
        <v>155.54</v>
      </c>
      <c r="G290" s="5"/>
      <c r="H290" s="29">
        <f t="shared" si="50"/>
        <v>15.553999999999998</v>
      </c>
      <c r="I290" s="29"/>
      <c r="J290" s="1">
        <v>44841</v>
      </c>
      <c r="K290" s="5">
        <v>0</v>
      </c>
      <c r="L290" s="5">
        <f t="shared" si="51"/>
        <v>0</v>
      </c>
      <c r="M290" s="5"/>
      <c r="N290" s="1"/>
      <c r="O290" s="6"/>
      <c r="P290" s="7">
        <f t="shared" si="52"/>
        <v>-171.09399999999999</v>
      </c>
      <c r="Q290" s="3"/>
    </row>
    <row r="291" spans="1:17">
      <c r="A291" s="1">
        <v>44830</v>
      </c>
      <c r="B291" s="25" t="s">
        <v>570</v>
      </c>
      <c r="C291" s="3" t="s">
        <v>81</v>
      </c>
      <c r="D291" s="4" t="s">
        <v>569</v>
      </c>
      <c r="E291" s="1"/>
      <c r="F291" s="5">
        <v>295</v>
      </c>
      <c r="G291" s="5"/>
      <c r="H291" s="29">
        <f t="shared" si="50"/>
        <v>29.5</v>
      </c>
      <c r="I291" s="29"/>
      <c r="J291" s="1">
        <v>44848</v>
      </c>
      <c r="K291" s="5">
        <v>0.75</v>
      </c>
      <c r="L291" s="5">
        <f t="shared" si="51"/>
        <v>8.25</v>
      </c>
      <c r="M291" s="5">
        <f>324+8.78</f>
        <v>332.78</v>
      </c>
      <c r="N291" s="1">
        <v>44830</v>
      </c>
      <c r="O291" s="6"/>
      <c r="P291" s="7">
        <f t="shared" si="52"/>
        <v>2.9999999999972715E-2</v>
      </c>
      <c r="Q291" s="3"/>
    </row>
    <row r="292" spans="1:17" ht="15" customHeight="1">
      <c r="A292" s="1">
        <v>44832</v>
      </c>
      <c r="B292" s="2" t="s">
        <v>51</v>
      </c>
      <c r="C292" s="3" t="s">
        <v>44</v>
      </c>
      <c r="D292" s="4" t="s">
        <v>572</v>
      </c>
      <c r="E292" s="1"/>
      <c r="F292" s="5">
        <v>97.39</v>
      </c>
      <c r="G292" s="5"/>
      <c r="H292" s="29">
        <f t="shared" si="50"/>
        <v>9.7390000000000008</v>
      </c>
      <c r="I292" s="5"/>
      <c r="J292" s="1">
        <v>44853</v>
      </c>
      <c r="K292" s="5">
        <v>1.4</v>
      </c>
      <c r="L292" s="5">
        <f t="shared" si="51"/>
        <v>15.399999999999999</v>
      </c>
      <c r="M292" s="5"/>
      <c r="N292" s="1"/>
      <c r="O292" s="6"/>
      <c r="P292" s="7">
        <f t="shared" si="52"/>
        <v>-122.529</v>
      </c>
      <c r="Q292" s="3"/>
    </row>
    <row r="293" spans="1:17" ht="15" customHeight="1">
      <c r="A293" s="1">
        <v>44832</v>
      </c>
      <c r="B293" s="25" t="s">
        <v>246</v>
      </c>
      <c r="C293" s="3" t="s">
        <v>577</v>
      </c>
      <c r="D293" s="4" t="s">
        <v>578</v>
      </c>
      <c r="E293" s="1"/>
      <c r="F293" s="5">
        <v>73</v>
      </c>
      <c r="G293" s="5"/>
      <c r="H293" s="29">
        <f t="shared" si="50"/>
        <v>7.3</v>
      </c>
      <c r="I293" s="29">
        <v>14.6</v>
      </c>
      <c r="J293" s="1">
        <v>44848</v>
      </c>
      <c r="K293" s="5">
        <v>1.4</v>
      </c>
      <c r="L293" s="5">
        <f t="shared" si="51"/>
        <v>15.399999999999999</v>
      </c>
      <c r="M293" s="5">
        <f>80.3+15.4</f>
        <v>95.7</v>
      </c>
      <c r="N293" s="1">
        <v>44838</v>
      </c>
      <c r="O293" s="6"/>
      <c r="P293" s="7">
        <f t="shared" si="52"/>
        <v>0</v>
      </c>
      <c r="Q293" s="3"/>
    </row>
    <row r="294" spans="1:17">
      <c r="A294" s="1">
        <v>44833</v>
      </c>
      <c r="B294" s="25" t="s">
        <v>583</v>
      </c>
      <c r="C294" s="3" t="s">
        <v>18</v>
      </c>
      <c r="D294" s="4" t="s">
        <v>582</v>
      </c>
      <c r="E294" s="1"/>
      <c r="F294" s="5">
        <v>148</v>
      </c>
      <c r="G294" s="5"/>
      <c r="H294" s="29">
        <f t="shared" si="50"/>
        <v>14.8</v>
      </c>
      <c r="I294" s="5"/>
      <c r="J294" s="1">
        <v>44853</v>
      </c>
      <c r="K294" s="5">
        <v>0.25</v>
      </c>
      <c r="L294" s="5">
        <f t="shared" si="51"/>
        <v>2.75</v>
      </c>
      <c r="M294" s="5">
        <v>-17</v>
      </c>
      <c r="N294" s="1">
        <v>44862</v>
      </c>
      <c r="O294" s="6"/>
      <c r="P294" s="7">
        <f t="shared" si="52"/>
        <v>-182.55</v>
      </c>
      <c r="Q294" s="3"/>
    </row>
    <row r="295" spans="1:17">
      <c r="A295" s="1">
        <v>44834</v>
      </c>
      <c r="B295" s="25" t="s">
        <v>583</v>
      </c>
      <c r="C295" s="3" t="s">
        <v>18</v>
      </c>
      <c r="D295" s="4" t="s">
        <v>586</v>
      </c>
      <c r="E295" s="1"/>
      <c r="F295" s="5">
        <v>148</v>
      </c>
      <c r="G295" s="5"/>
      <c r="H295" s="29">
        <f t="shared" si="50"/>
        <v>14.8</v>
      </c>
      <c r="I295" s="5"/>
      <c r="J295" s="1">
        <v>44853</v>
      </c>
      <c r="K295" s="5">
        <v>0</v>
      </c>
      <c r="L295" s="5">
        <f t="shared" si="51"/>
        <v>0</v>
      </c>
      <c r="M295" s="5"/>
      <c r="N295" s="1"/>
      <c r="O295" s="6"/>
      <c r="P295" s="7">
        <f t="shared" si="52"/>
        <v>-162.80000000000001</v>
      </c>
      <c r="Q295" s="3"/>
    </row>
    <row r="296" spans="1:17" ht="15" customHeight="1">
      <c r="A296" s="1">
        <v>44835</v>
      </c>
      <c r="B296" s="2" t="s">
        <v>41</v>
      </c>
      <c r="C296" s="3" t="s">
        <v>69</v>
      </c>
      <c r="D296" s="4" t="s">
        <v>587</v>
      </c>
      <c r="E296" s="1"/>
      <c r="F296" s="5">
        <v>8.5399999999999991</v>
      </c>
      <c r="G296" s="5"/>
      <c r="H296" s="5">
        <f t="shared" si="50"/>
        <v>0.85399999999999987</v>
      </c>
      <c r="I296" s="5"/>
      <c r="J296" s="1">
        <v>44872</v>
      </c>
      <c r="K296" s="5">
        <v>0.2</v>
      </c>
      <c r="L296" s="5">
        <f t="shared" si="51"/>
        <v>2.2000000000000002</v>
      </c>
      <c r="M296" s="5"/>
      <c r="N296" s="1"/>
      <c r="O296" s="6"/>
      <c r="P296" s="7">
        <f t="shared" si="52"/>
        <v>-11.593999999999998</v>
      </c>
      <c r="Q296" s="3"/>
    </row>
    <row r="297" spans="1:17" ht="15" customHeight="1">
      <c r="A297" s="1">
        <v>44837</v>
      </c>
      <c r="B297" s="25" t="s">
        <v>482</v>
      </c>
      <c r="C297" s="3" t="s">
        <v>28</v>
      </c>
      <c r="D297" s="4" t="s">
        <v>591</v>
      </c>
      <c r="E297" s="1"/>
      <c r="F297" s="5">
        <v>44.47</v>
      </c>
      <c r="G297" s="5"/>
      <c r="H297" s="29">
        <f t="shared" si="50"/>
        <v>4.4470000000000001</v>
      </c>
      <c r="I297" s="29">
        <v>-31.53</v>
      </c>
      <c r="J297" s="1">
        <v>44848</v>
      </c>
      <c r="K297" s="5">
        <v>0</v>
      </c>
      <c r="L297" s="5">
        <f t="shared" si="51"/>
        <v>0</v>
      </c>
      <c r="M297" s="5"/>
      <c r="N297" s="1"/>
      <c r="O297" s="6"/>
      <c r="P297" s="7">
        <f t="shared" si="52"/>
        <v>-48.917000000000002</v>
      </c>
      <c r="Q297" s="3"/>
    </row>
    <row r="298" spans="1:17">
      <c r="A298" s="1">
        <v>44839</v>
      </c>
      <c r="B298" s="30" t="s">
        <v>152</v>
      </c>
      <c r="C298" s="3" t="s">
        <v>153</v>
      </c>
      <c r="D298" s="4" t="s">
        <v>596</v>
      </c>
      <c r="E298" s="1"/>
      <c r="F298" s="5">
        <v>134.37</v>
      </c>
      <c r="G298" s="5"/>
      <c r="H298" s="29">
        <f t="shared" si="50"/>
        <v>13.437000000000001</v>
      </c>
      <c r="I298" s="5"/>
      <c r="J298" s="1">
        <v>44853</v>
      </c>
      <c r="K298" s="5">
        <v>1.5</v>
      </c>
      <c r="L298" s="5">
        <f t="shared" si="51"/>
        <v>16.5</v>
      </c>
      <c r="M298" s="5">
        <v>600</v>
      </c>
      <c r="N298" s="1">
        <v>44856</v>
      </c>
      <c r="O298" s="6"/>
      <c r="P298" s="7">
        <f t="shared" si="52"/>
        <v>435.69299999999998</v>
      </c>
      <c r="Q298" s="3"/>
    </row>
    <row r="299" spans="1:17">
      <c r="A299" s="1">
        <v>44840</v>
      </c>
      <c r="B299" s="25" t="s">
        <v>91</v>
      </c>
      <c r="C299" s="3" t="s">
        <v>89</v>
      </c>
      <c r="D299" s="4" t="s">
        <v>597</v>
      </c>
      <c r="E299" s="1"/>
      <c r="F299" s="5">
        <v>198.79</v>
      </c>
      <c r="G299" s="5"/>
      <c r="H299" s="29">
        <f t="shared" si="50"/>
        <v>19.879000000000001</v>
      </c>
      <c r="I299" s="5"/>
      <c r="J299" s="1">
        <v>44865</v>
      </c>
      <c r="K299" s="5">
        <v>10.5</v>
      </c>
      <c r="L299" s="5">
        <f t="shared" si="51"/>
        <v>115.5</v>
      </c>
      <c r="M299" s="5"/>
      <c r="N299" s="1"/>
      <c r="O299" s="6"/>
      <c r="P299" s="7">
        <f t="shared" si="52"/>
        <v>-334.16899999999998</v>
      </c>
      <c r="Q299" s="3"/>
    </row>
    <row r="300" spans="1:17">
      <c r="A300" s="1">
        <v>44840</v>
      </c>
      <c r="B300" s="25" t="s">
        <v>17</v>
      </c>
      <c r="C300" s="3" t="s">
        <v>89</v>
      </c>
      <c r="D300" s="4" t="s">
        <v>598</v>
      </c>
      <c r="E300" s="1"/>
      <c r="F300" s="5">
        <v>80.95</v>
      </c>
      <c r="G300" s="5"/>
      <c r="H300" s="29">
        <f t="shared" si="50"/>
        <v>8.0950000000000006</v>
      </c>
      <c r="I300" s="5"/>
      <c r="J300" s="1">
        <v>44865</v>
      </c>
      <c r="K300" s="5">
        <v>0</v>
      </c>
      <c r="L300" s="5">
        <f t="shared" si="51"/>
        <v>0</v>
      </c>
      <c r="M300" s="5"/>
      <c r="N300" s="1"/>
      <c r="O300" s="6"/>
      <c r="P300" s="7">
        <f t="shared" si="52"/>
        <v>-89.045000000000002</v>
      </c>
      <c r="Q300" s="3"/>
    </row>
    <row r="301" spans="1:17" ht="15" customHeight="1">
      <c r="A301" s="1">
        <v>44840</v>
      </c>
      <c r="B301" s="25" t="s">
        <v>70</v>
      </c>
      <c r="C301" s="3" t="s">
        <v>69</v>
      </c>
      <c r="D301" s="4" t="s">
        <v>599</v>
      </c>
      <c r="E301" s="1"/>
      <c r="F301" s="5">
        <v>50.98</v>
      </c>
      <c r="G301" s="5"/>
      <c r="H301" s="29">
        <f t="shared" si="50"/>
        <v>5.097999999999999</v>
      </c>
      <c r="I301" s="5"/>
      <c r="J301" s="1">
        <v>44853</v>
      </c>
      <c r="K301" s="5">
        <v>0</v>
      </c>
      <c r="L301" s="5">
        <f t="shared" si="51"/>
        <v>0</v>
      </c>
      <c r="M301" s="5"/>
      <c r="N301" s="1"/>
      <c r="O301" s="6"/>
      <c r="P301" s="7">
        <f t="shared" si="52"/>
        <v>-56.077999999999996</v>
      </c>
      <c r="Q301" s="3"/>
    </row>
    <row r="302" spans="1:17">
      <c r="A302" s="1">
        <v>44840</v>
      </c>
      <c r="B302" s="25" t="s">
        <v>601</v>
      </c>
      <c r="C302" s="3" t="s">
        <v>274</v>
      </c>
      <c r="D302" s="4" t="s">
        <v>600</v>
      </c>
      <c r="E302" s="1"/>
      <c r="F302" s="5">
        <f>99.11+14.85</f>
        <v>113.96</v>
      </c>
      <c r="G302" s="5"/>
      <c r="H302" s="29">
        <v>9.91</v>
      </c>
      <c r="I302" s="5"/>
      <c r="J302" s="1">
        <v>44853</v>
      </c>
      <c r="K302" s="5">
        <v>0.7</v>
      </c>
      <c r="L302" s="5">
        <f t="shared" ref="L302:L339" si="56">K302*11</f>
        <v>7.6999999999999993</v>
      </c>
      <c r="M302" s="5">
        <v>150</v>
      </c>
      <c r="N302" s="1">
        <v>44850</v>
      </c>
      <c r="O302" s="6"/>
      <c r="P302" s="7">
        <f t="shared" ref="P302:P339" si="57">M302-(F302+G302+H302+L302)</f>
        <v>18.430000000000007</v>
      </c>
      <c r="Q302" s="3"/>
    </row>
    <row r="303" spans="1:17">
      <c r="A303" s="1">
        <v>44841</v>
      </c>
      <c r="B303" s="25" t="s">
        <v>87</v>
      </c>
      <c r="C303" s="3" t="s">
        <v>69</v>
      </c>
      <c r="D303" s="4" t="s">
        <v>604</v>
      </c>
      <c r="E303" s="1"/>
      <c r="F303" s="5">
        <v>29.49</v>
      </c>
      <c r="G303" s="5"/>
      <c r="H303" s="29">
        <f t="shared" ref="H303:H339" si="58">(F303/100)*10</f>
        <v>2.9489999999999998</v>
      </c>
      <c r="I303" s="5"/>
      <c r="J303" s="1">
        <v>44853</v>
      </c>
      <c r="K303" s="5">
        <v>0</v>
      </c>
      <c r="L303" s="5">
        <f t="shared" si="56"/>
        <v>0</v>
      </c>
      <c r="M303" s="5"/>
      <c r="N303" s="1"/>
      <c r="O303" s="6"/>
      <c r="P303" s="7">
        <f t="shared" si="57"/>
        <v>-32.439</v>
      </c>
      <c r="Q303" s="3"/>
    </row>
    <row r="304" spans="1:17">
      <c r="A304" s="1">
        <v>44841</v>
      </c>
      <c r="B304" s="25" t="s">
        <v>606</v>
      </c>
      <c r="C304" s="3" t="s">
        <v>274</v>
      </c>
      <c r="D304" s="4" t="s">
        <v>605</v>
      </c>
      <c r="E304" s="1"/>
      <c r="F304" s="5">
        <v>65.97</v>
      </c>
      <c r="G304" s="5"/>
      <c r="H304" s="5">
        <f t="shared" si="58"/>
        <v>6.5969999999999995</v>
      </c>
      <c r="I304" s="5"/>
      <c r="J304" s="1"/>
      <c r="K304" s="5"/>
      <c r="L304" s="5">
        <f t="shared" si="56"/>
        <v>0</v>
      </c>
      <c r="M304" s="5"/>
      <c r="N304" s="1"/>
      <c r="O304" s="6"/>
      <c r="P304" s="7">
        <f t="shared" si="57"/>
        <v>-72.566999999999993</v>
      </c>
      <c r="Q304" s="3"/>
    </row>
    <row r="305" spans="1:17" ht="15" customHeight="1">
      <c r="A305" s="1">
        <v>44841</v>
      </c>
      <c r="B305" s="2" t="s">
        <v>41</v>
      </c>
      <c r="C305" s="3" t="s">
        <v>607</v>
      </c>
      <c r="D305" s="4" t="s">
        <v>608</v>
      </c>
      <c r="E305" s="1"/>
      <c r="F305" s="5">
        <v>0</v>
      </c>
      <c r="G305" s="5"/>
      <c r="H305" s="5">
        <f t="shared" si="58"/>
        <v>0</v>
      </c>
      <c r="I305" s="5"/>
      <c r="J305" s="1"/>
      <c r="K305" s="5"/>
      <c r="L305" s="5">
        <f t="shared" si="56"/>
        <v>0</v>
      </c>
      <c r="M305" s="5"/>
      <c r="N305" s="1"/>
      <c r="O305" s="6"/>
      <c r="P305" s="7">
        <f t="shared" si="57"/>
        <v>0</v>
      </c>
      <c r="Q305" s="3"/>
    </row>
    <row r="306" spans="1:17">
      <c r="A306" s="1">
        <v>44842</v>
      </c>
      <c r="B306" s="25" t="s">
        <v>611</v>
      </c>
      <c r="C306" s="3" t="s">
        <v>609</v>
      </c>
      <c r="D306" s="4" t="s">
        <v>610</v>
      </c>
      <c r="E306" s="1"/>
      <c r="F306" s="5">
        <v>125.46</v>
      </c>
      <c r="G306" s="5"/>
      <c r="H306" s="29">
        <f t="shared" si="58"/>
        <v>12.545999999999999</v>
      </c>
      <c r="I306" s="5"/>
      <c r="J306" s="1">
        <v>44862</v>
      </c>
      <c r="K306" s="5">
        <v>1.19</v>
      </c>
      <c r="L306" s="5">
        <f t="shared" si="56"/>
        <v>13.09</v>
      </c>
      <c r="M306" s="5">
        <v>151</v>
      </c>
      <c r="N306" s="1">
        <v>44868</v>
      </c>
      <c r="O306" s="6"/>
      <c r="P306" s="7">
        <f t="shared" si="57"/>
        <v>-9.6000000000003638E-2</v>
      </c>
      <c r="Q306" s="3"/>
    </row>
    <row r="307" spans="1:17" ht="15" customHeight="1">
      <c r="A307" s="1">
        <v>44842</v>
      </c>
      <c r="B307" s="25" t="s">
        <v>33</v>
      </c>
      <c r="C307" s="3" t="s">
        <v>226</v>
      </c>
      <c r="D307" s="4" t="s">
        <v>612</v>
      </c>
      <c r="E307" s="1"/>
      <c r="F307" s="5">
        <v>71.099999999999994</v>
      </c>
      <c r="G307" s="5"/>
      <c r="H307" s="29">
        <f t="shared" si="58"/>
        <v>7.1099999999999994</v>
      </c>
      <c r="I307" s="5"/>
      <c r="J307" s="1">
        <v>44853</v>
      </c>
      <c r="K307" s="5">
        <v>1.25</v>
      </c>
      <c r="L307" s="5">
        <f t="shared" si="56"/>
        <v>13.75</v>
      </c>
      <c r="M307" s="5">
        <v>300</v>
      </c>
      <c r="N307" s="1">
        <v>44858</v>
      </c>
      <c r="O307" s="6"/>
      <c r="P307" s="7">
        <f t="shared" si="57"/>
        <v>208.04000000000002</v>
      </c>
      <c r="Q307" s="3"/>
    </row>
    <row r="308" spans="1:17">
      <c r="A308" s="1">
        <v>44843</v>
      </c>
      <c r="B308" s="25" t="s">
        <v>91</v>
      </c>
      <c r="C308" s="3" t="s">
        <v>89</v>
      </c>
      <c r="D308" s="4" t="s">
        <v>613</v>
      </c>
      <c r="E308" s="1"/>
      <c r="F308" s="5">
        <v>86.87</v>
      </c>
      <c r="G308" s="5"/>
      <c r="H308" s="29">
        <f t="shared" si="58"/>
        <v>8.6870000000000012</v>
      </c>
      <c r="I308" s="5"/>
      <c r="J308" s="1">
        <v>44862</v>
      </c>
      <c r="K308" s="5">
        <v>3.2</v>
      </c>
      <c r="L308" s="5">
        <f t="shared" si="56"/>
        <v>35.200000000000003</v>
      </c>
      <c r="M308" s="5"/>
      <c r="N308" s="1"/>
      <c r="O308" s="6"/>
      <c r="P308" s="7">
        <f t="shared" si="57"/>
        <v>-130.75700000000001</v>
      </c>
      <c r="Q308" s="3"/>
    </row>
    <row r="309" spans="1:17" ht="15" customHeight="1">
      <c r="A309" s="1">
        <v>44844</v>
      </c>
      <c r="B309" s="25" t="s">
        <v>33</v>
      </c>
      <c r="C309" s="3" t="s">
        <v>614</v>
      </c>
      <c r="D309" s="4" t="s">
        <v>615</v>
      </c>
      <c r="E309" s="1"/>
      <c r="F309" s="5">
        <v>46.94</v>
      </c>
      <c r="G309" s="5"/>
      <c r="H309" s="29">
        <f t="shared" si="58"/>
        <v>4.694</v>
      </c>
      <c r="I309" s="5"/>
      <c r="J309" s="1">
        <v>44856</v>
      </c>
      <c r="K309" s="5">
        <v>1.1000000000000001</v>
      </c>
      <c r="L309" s="5">
        <f t="shared" si="56"/>
        <v>12.100000000000001</v>
      </c>
      <c r="M309" s="5">
        <v>63</v>
      </c>
      <c r="N309" s="1">
        <v>44857</v>
      </c>
      <c r="O309" s="6"/>
      <c r="P309" s="7">
        <f t="shared" si="57"/>
        <v>-0.73400000000000176</v>
      </c>
      <c r="Q309" s="3"/>
    </row>
    <row r="310" spans="1:17">
      <c r="A310" s="1">
        <v>44844</v>
      </c>
      <c r="B310" s="2" t="s">
        <v>376</v>
      </c>
      <c r="C310" s="3" t="s">
        <v>226</v>
      </c>
      <c r="D310" s="4" t="s">
        <v>616</v>
      </c>
      <c r="E310" s="1"/>
      <c r="F310" s="5">
        <v>99.97</v>
      </c>
      <c r="G310" s="29">
        <f t="shared" ref="G310:G326" si="59">(F310/100)*4</f>
        <v>3.9988000000000001</v>
      </c>
      <c r="H310" s="29">
        <f t="shared" si="58"/>
        <v>9.9969999999999999</v>
      </c>
      <c r="I310" s="29">
        <v>-5</v>
      </c>
      <c r="J310" s="1">
        <v>44865</v>
      </c>
      <c r="K310" s="5">
        <v>1.7</v>
      </c>
      <c r="L310" s="5">
        <f t="shared" si="56"/>
        <v>18.7</v>
      </c>
      <c r="M310" s="5"/>
      <c r="N310" s="1"/>
      <c r="O310" s="6"/>
      <c r="P310" s="7">
        <f t="shared" si="57"/>
        <v>-132.66579999999999</v>
      </c>
      <c r="Q310" s="3"/>
    </row>
    <row r="311" spans="1:17">
      <c r="A311" s="1">
        <v>44844</v>
      </c>
      <c r="B311" s="25" t="s">
        <v>621</v>
      </c>
      <c r="C311" s="3" t="s">
        <v>274</v>
      </c>
      <c r="D311" s="4" t="s">
        <v>622</v>
      </c>
      <c r="E311" s="1"/>
      <c r="F311" s="5">
        <v>47.99</v>
      </c>
      <c r="G311" s="5"/>
      <c r="H311" s="29">
        <f t="shared" si="58"/>
        <v>4.7989999999999995</v>
      </c>
      <c r="I311" s="5"/>
      <c r="J311" s="1">
        <v>44856</v>
      </c>
      <c r="K311" s="5">
        <v>1.1000000000000001</v>
      </c>
      <c r="L311" s="5">
        <f t="shared" si="56"/>
        <v>12.100000000000001</v>
      </c>
      <c r="M311" s="5"/>
      <c r="N311" s="1"/>
      <c r="O311" s="6"/>
      <c r="P311" s="7">
        <f t="shared" si="57"/>
        <v>-64.88900000000001</v>
      </c>
      <c r="Q311" s="3"/>
    </row>
    <row r="312" spans="1:17" ht="15" customHeight="1">
      <c r="A312" s="1">
        <v>44845</v>
      </c>
      <c r="B312" s="25" t="s">
        <v>41</v>
      </c>
      <c r="C312" s="3" t="s">
        <v>69</v>
      </c>
      <c r="D312" s="4" t="s">
        <v>623</v>
      </c>
      <c r="E312" s="1"/>
      <c r="F312" s="5">
        <v>45.99</v>
      </c>
      <c r="G312" s="5"/>
      <c r="H312" s="5">
        <f t="shared" si="58"/>
        <v>4.5990000000000002</v>
      </c>
      <c r="I312" s="5"/>
      <c r="J312" s="1">
        <v>44872</v>
      </c>
      <c r="K312" s="5">
        <v>0</v>
      </c>
      <c r="L312" s="5">
        <f t="shared" si="56"/>
        <v>0</v>
      </c>
      <c r="M312" s="5"/>
      <c r="N312" s="1"/>
      <c r="O312" s="6"/>
      <c r="P312" s="7">
        <f t="shared" si="57"/>
        <v>-50.588999999999999</v>
      </c>
      <c r="Q312" s="3"/>
    </row>
    <row r="313" spans="1:17" ht="15" customHeight="1">
      <c r="A313" s="1">
        <v>44846</v>
      </c>
      <c r="B313" s="2" t="s">
        <v>41</v>
      </c>
      <c r="C313" s="3" t="s">
        <v>69</v>
      </c>
      <c r="D313" s="4" t="s">
        <v>624</v>
      </c>
      <c r="E313" s="1"/>
      <c r="F313" s="5">
        <v>11.6</v>
      </c>
      <c r="G313" s="5"/>
      <c r="H313" s="5">
        <f t="shared" si="58"/>
        <v>1.1599999999999999</v>
      </c>
      <c r="I313" s="5"/>
      <c r="J313" s="1">
        <v>44872</v>
      </c>
      <c r="K313" s="5">
        <v>0</v>
      </c>
      <c r="L313" s="5">
        <f t="shared" si="56"/>
        <v>0</v>
      </c>
      <c r="M313" s="5"/>
      <c r="N313" s="1"/>
      <c r="O313" s="6"/>
      <c r="P313" s="7">
        <f t="shared" si="57"/>
        <v>-12.76</v>
      </c>
      <c r="Q313" s="3"/>
    </row>
    <row r="314" spans="1:17">
      <c r="A314" s="1">
        <v>44846</v>
      </c>
      <c r="B314" s="25" t="s">
        <v>626</v>
      </c>
      <c r="C314" s="3" t="s">
        <v>166</v>
      </c>
      <c r="D314" s="4" t="s">
        <v>625</v>
      </c>
      <c r="E314" s="1"/>
      <c r="F314" s="5">
        <v>66.540000000000006</v>
      </c>
      <c r="G314" s="5"/>
      <c r="H314" s="29">
        <f t="shared" si="58"/>
        <v>6.6540000000000008</v>
      </c>
      <c r="I314" s="5"/>
      <c r="J314" s="1">
        <v>44862</v>
      </c>
      <c r="K314" s="5">
        <v>0.9</v>
      </c>
      <c r="L314" s="5">
        <f t="shared" si="56"/>
        <v>9.9</v>
      </c>
      <c r="M314" s="5">
        <v>155</v>
      </c>
      <c r="N314" s="1">
        <v>44870</v>
      </c>
      <c r="O314" s="6"/>
      <c r="P314" s="7">
        <f t="shared" si="57"/>
        <v>71.905999999999992</v>
      </c>
      <c r="Q314" s="3"/>
    </row>
    <row r="315" spans="1:17">
      <c r="A315" s="1">
        <v>44847</v>
      </c>
      <c r="B315" s="54" t="s">
        <v>631</v>
      </c>
      <c r="C315" s="3" t="s">
        <v>274</v>
      </c>
      <c r="D315" s="4" t="s">
        <v>630</v>
      </c>
      <c r="E315" s="1"/>
      <c r="F315" s="5">
        <v>48.85</v>
      </c>
      <c r="G315" s="5"/>
      <c r="H315" s="5">
        <f t="shared" si="58"/>
        <v>4.8849999999999998</v>
      </c>
      <c r="I315" s="5"/>
      <c r="J315" s="1"/>
      <c r="K315" s="5"/>
      <c r="L315" s="5">
        <f t="shared" si="56"/>
        <v>0</v>
      </c>
      <c r="M315" s="5"/>
      <c r="N315" s="1"/>
      <c r="O315" s="6"/>
      <c r="P315" s="7">
        <f t="shared" si="57"/>
        <v>-53.734999999999999</v>
      </c>
      <c r="Q315" s="3"/>
    </row>
    <row r="316" spans="1:17" ht="15" customHeight="1">
      <c r="A316" s="1">
        <v>44848</v>
      </c>
      <c r="B316" s="25" t="s">
        <v>17</v>
      </c>
      <c r="C316" s="3" t="s">
        <v>18</v>
      </c>
      <c r="D316" s="4" t="s">
        <v>633</v>
      </c>
      <c r="E316" s="1"/>
      <c r="F316" s="5">
        <v>255</v>
      </c>
      <c r="G316" s="5"/>
      <c r="H316" s="29">
        <f t="shared" si="58"/>
        <v>25.5</v>
      </c>
      <c r="I316" s="5"/>
      <c r="J316" s="1">
        <v>44862</v>
      </c>
      <c r="K316" s="5">
        <v>1.2</v>
      </c>
      <c r="L316" s="5">
        <f t="shared" si="56"/>
        <v>13.2</v>
      </c>
      <c r="M316" s="5">
        <v>1300</v>
      </c>
      <c r="N316" s="1">
        <v>44863</v>
      </c>
      <c r="O316" s="6"/>
      <c r="P316" s="7">
        <f t="shared" si="57"/>
        <v>1006.3</v>
      </c>
      <c r="Q316" s="3" t="s">
        <v>722</v>
      </c>
    </row>
    <row r="317" spans="1:17" ht="15" customHeight="1">
      <c r="A317" s="1">
        <v>44848</v>
      </c>
      <c r="B317" s="25" t="s">
        <v>17</v>
      </c>
      <c r="C317" s="3" t="s">
        <v>18</v>
      </c>
      <c r="D317" s="4" t="s">
        <v>633</v>
      </c>
      <c r="E317" s="1"/>
      <c r="F317" s="5"/>
      <c r="G317" s="5"/>
      <c r="H317" s="29">
        <f t="shared" ref="H317" si="60">(F317/100)*10</f>
        <v>0</v>
      </c>
      <c r="I317" s="5"/>
      <c r="J317" s="1">
        <v>44865</v>
      </c>
      <c r="K317" s="5">
        <v>1.1499999999999999</v>
      </c>
      <c r="L317" s="5">
        <f t="shared" ref="L317" si="61">K317*11</f>
        <v>12.649999999999999</v>
      </c>
      <c r="M317" s="5"/>
      <c r="N317" s="1"/>
      <c r="O317" s="6"/>
      <c r="P317" s="7">
        <f t="shared" ref="P317" si="62">M317-(F317+G317+H317+L317)</f>
        <v>-12.649999999999999</v>
      </c>
      <c r="Q317" s="3">
        <v>4</v>
      </c>
    </row>
    <row r="318" spans="1:17" ht="15" customHeight="1">
      <c r="A318" s="1">
        <v>44848</v>
      </c>
      <c r="B318" s="25" t="s">
        <v>33</v>
      </c>
      <c r="C318" s="3" t="s">
        <v>32</v>
      </c>
      <c r="D318" s="4" t="s">
        <v>632</v>
      </c>
      <c r="E318" s="1"/>
      <c r="F318" s="5">
        <v>108.99</v>
      </c>
      <c r="G318" s="5"/>
      <c r="H318" s="29">
        <f t="shared" si="58"/>
        <v>10.898999999999999</v>
      </c>
      <c r="I318" s="5"/>
      <c r="J318" s="1">
        <v>44862</v>
      </c>
      <c r="K318" s="5">
        <v>1.1499999999999999</v>
      </c>
      <c r="L318" s="5">
        <f t="shared" si="56"/>
        <v>12.649999999999999</v>
      </c>
      <c r="M318" s="5">
        <f>120+12</f>
        <v>132</v>
      </c>
      <c r="N318" s="1">
        <v>44856</v>
      </c>
      <c r="O318" s="6"/>
      <c r="P318" s="7">
        <f t="shared" si="57"/>
        <v>-0.53899999999998727</v>
      </c>
      <c r="Q318" s="3"/>
    </row>
    <row r="319" spans="1:17">
      <c r="A319" s="1">
        <v>44848</v>
      </c>
      <c r="B319" s="25" t="s">
        <v>79</v>
      </c>
      <c r="C319" s="3" t="s">
        <v>635</v>
      </c>
      <c r="D319" s="4" t="s">
        <v>634</v>
      </c>
      <c r="E319" s="1"/>
      <c r="F319" s="5">
        <v>339</v>
      </c>
      <c r="G319" s="5"/>
      <c r="H319" s="5">
        <f t="shared" si="58"/>
        <v>33.9</v>
      </c>
      <c r="I319" s="5"/>
      <c r="J319" s="1"/>
      <c r="K319" s="5"/>
      <c r="L319" s="5">
        <f t="shared" si="56"/>
        <v>0</v>
      </c>
      <c r="M319" s="5">
        <f>9+500</f>
        <v>509</v>
      </c>
      <c r="N319" s="1">
        <v>44851</v>
      </c>
      <c r="O319" s="6"/>
      <c r="P319" s="7">
        <f t="shared" si="57"/>
        <v>136.10000000000002</v>
      </c>
      <c r="Q319" s="3"/>
    </row>
    <row r="320" spans="1:17" ht="15" customHeight="1">
      <c r="A320" s="1">
        <v>44848</v>
      </c>
      <c r="B320" s="25" t="s">
        <v>17</v>
      </c>
      <c r="C320" s="3" t="s">
        <v>18</v>
      </c>
      <c r="D320" s="4" t="s">
        <v>636</v>
      </c>
      <c r="E320" s="1"/>
      <c r="F320" s="5">
        <v>33.89</v>
      </c>
      <c r="G320" s="5"/>
      <c r="H320" s="5">
        <f t="shared" si="58"/>
        <v>3.3889999999999998</v>
      </c>
      <c r="I320" s="5"/>
      <c r="J320" s="1">
        <v>44872</v>
      </c>
      <c r="K320" s="5">
        <v>1.3</v>
      </c>
      <c r="L320" s="5">
        <f t="shared" si="56"/>
        <v>14.3</v>
      </c>
      <c r="M320" s="5"/>
      <c r="N320" s="1"/>
      <c r="O320" s="6"/>
      <c r="P320" s="7">
        <f t="shared" si="57"/>
        <v>-51.579000000000008</v>
      </c>
      <c r="Q320" s="3"/>
    </row>
    <row r="321" spans="1:17">
      <c r="A321" s="1">
        <v>44848</v>
      </c>
      <c r="B321" s="25" t="s">
        <v>231</v>
      </c>
      <c r="C321" s="3" t="s">
        <v>637</v>
      </c>
      <c r="D321" s="4" t="s">
        <v>638</v>
      </c>
      <c r="E321" s="1"/>
      <c r="F321" s="5">
        <v>121.95</v>
      </c>
      <c r="G321" s="5"/>
      <c r="H321" s="5">
        <f t="shared" si="58"/>
        <v>12.195</v>
      </c>
      <c r="I321" s="5"/>
      <c r="J321" s="1"/>
      <c r="K321" s="5"/>
      <c r="L321" s="5">
        <f t="shared" si="56"/>
        <v>0</v>
      </c>
      <c r="M321" s="5">
        <v>121.93</v>
      </c>
      <c r="N321" s="1">
        <v>44848</v>
      </c>
      <c r="O321" s="6"/>
      <c r="P321" s="7">
        <f t="shared" si="57"/>
        <v>-12.215000000000003</v>
      </c>
      <c r="Q321" s="3"/>
    </row>
    <row r="322" spans="1:17" ht="15" customHeight="1">
      <c r="A322" s="1">
        <v>44849</v>
      </c>
      <c r="B322" s="2" t="s">
        <v>41</v>
      </c>
      <c r="C322" s="3" t="s">
        <v>232</v>
      </c>
      <c r="D322" s="4" t="s">
        <v>639</v>
      </c>
      <c r="E322" s="1"/>
      <c r="F322" s="5">
        <v>15.49</v>
      </c>
      <c r="G322" s="5"/>
      <c r="H322" s="29">
        <f t="shared" si="58"/>
        <v>1.5490000000000002</v>
      </c>
      <c r="I322" s="5"/>
      <c r="J322" s="1">
        <v>44862</v>
      </c>
      <c r="K322" s="5">
        <v>0.1</v>
      </c>
      <c r="L322" s="5">
        <f t="shared" si="56"/>
        <v>1.1000000000000001</v>
      </c>
      <c r="M322" s="5"/>
      <c r="N322" s="1"/>
      <c r="O322" s="6"/>
      <c r="P322" s="7">
        <f t="shared" si="57"/>
        <v>-18.139000000000003</v>
      </c>
      <c r="Q322" s="3" t="s">
        <v>344</v>
      </c>
    </row>
    <row r="323" spans="1:17" ht="15" customHeight="1">
      <c r="A323" s="1">
        <v>44849</v>
      </c>
      <c r="B323" s="2" t="s">
        <v>41</v>
      </c>
      <c r="C323" s="3" t="s">
        <v>232</v>
      </c>
      <c r="D323" s="4" t="s">
        <v>639</v>
      </c>
      <c r="E323" s="1"/>
      <c r="F323" s="5"/>
      <c r="G323" s="5"/>
      <c r="H323" s="29">
        <f t="shared" ref="H323" si="63">(F323/100)*10</f>
        <v>0</v>
      </c>
      <c r="I323" s="5"/>
      <c r="J323" s="1">
        <v>44867</v>
      </c>
      <c r="K323" s="5">
        <v>0.1</v>
      </c>
      <c r="L323" s="5">
        <f t="shared" ref="L323" si="64">K323*11</f>
        <v>1.1000000000000001</v>
      </c>
      <c r="M323" s="5"/>
      <c r="N323" s="1"/>
      <c r="O323" s="6"/>
      <c r="P323" s="7">
        <f t="shared" ref="P323" si="65">M323-(F323+G323+H323+L323)</f>
        <v>-1.1000000000000001</v>
      </c>
      <c r="Q323" s="3" t="s">
        <v>344</v>
      </c>
    </row>
    <row r="324" spans="1:17" ht="15" customHeight="1">
      <c r="A324" s="1">
        <v>44849</v>
      </c>
      <c r="B324" s="25" t="s">
        <v>70</v>
      </c>
      <c r="C324" s="3" t="s">
        <v>640</v>
      </c>
      <c r="D324" s="4" t="s">
        <v>641</v>
      </c>
      <c r="E324" s="1"/>
      <c r="F324" s="5">
        <v>69.95</v>
      </c>
      <c r="G324" s="5"/>
      <c r="H324" s="29">
        <f t="shared" si="58"/>
        <v>6.9950000000000001</v>
      </c>
      <c r="I324" s="5"/>
      <c r="J324" s="1">
        <v>44862</v>
      </c>
      <c r="K324" s="5">
        <v>1.5</v>
      </c>
      <c r="L324" s="5">
        <f t="shared" si="56"/>
        <v>16.5</v>
      </c>
      <c r="M324" s="5">
        <v>73.86</v>
      </c>
      <c r="N324" s="1">
        <v>44851</v>
      </c>
      <c r="O324" s="6"/>
      <c r="P324" s="7">
        <f t="shared" si="57"/>
        <v>-19.585000000000008</v>
      </c>
      <c r="Q324" s="3"/>
    </row>
    <row r="325" spans="1:17" ht="15" customHeight="1">
      <c r="A325" s="1">
        <v>44850</v>
      </c>
      <c r="B325" s="25" t="s">
        <v>642</v>
      </c>
      <c r="C325" s="3" t="s">
        <v>166</v>
      </c>
      <c r="D325" s="4" t="s">
        <v>643</v>
      </c>
      <c r="E325" s="1"/>
      <c r="F325" s="5">
        <v>60.25</v>
      </c>
      <c r="G325" s="5"/>
      <c r="H325" s="29">
        <f t="shared" si="58"/>
        <v>6.0250000000000004</v>
      </c>
      <c r="I325" s="5"/>
      <c r="J325" s="1">
        <v>44867</v>
      </c>
      <c r="K325" s="5">
        <v>0.6</v>
      </c>
      <c r="L325" s="5">
        <f t="shared" si="56"/>
        <v>6.6</v>
      </c>
      <c r="M325" s="5"/>
      <c r="N325" s="1"/>
      <c r="O325" s="6"/>
      <c r="P325" s="7">
        <f t="shared" si="57"/>
        <v>-72.875</v>
      </c>
      <c r="Q325" s="3"/>
    </row>
    <row r="326" spans="1:17" ht="15" customHeight="1">
      <c r="A326" s="1">
        <v>44851</v>
      </c>
      <c r="B326" s="2" t="s">
        <v>70</v>
      </c>
      <c r="C326" s="3" t="s">
        <v>516</v>
      </c>
      <c r="D326" s="44" t="s">
        <v>644</v>
      </c>
      <c r="E326" s="1"/>
      <c r="F326" s="5">
        <v>0</v>
      </c>
      <c r="G326" s="5">
        <f t="shared" si="59"/>
        <v>0</v>
      </c>
      <c r="H326" s="29">
        <f t="shared" si="58"/>
        <v>0</v>
      </c>
      <c r="I326" s="5"/>
      <c r="J326" s="1">
        <v>44867</v>
      </c>
      <c r="K326" s="5">
        <v>0</v>
      </c>
      <c r="L326" s="5">
        <f t="shared" si="56"/>
        <v>0</v>
      </c>
      <c r="M326" s="5"/>
      <c r="N326" s="1"/>
      <c r="O326" s="6"/>
      <c r="P326" s="7">
        <f t="shared" si="57"/>
        <v>0</v>
      </c>
      <c r="Q326" s="3"/>
    </row>
    <row r="327" spans="1:17" ht="15" customHeight="1">
      <c r="A327" s="1">
        <v>44852</v>
      </c>
      <c r="B327" s="25" t="s">
        <v>51</v>
      </c>
      <c r="C327" s="3" t="s">
        <v>158</v>
      </c>
      <c r="D327" s="4" t="s">
        <v>648</v>
      </c>
      <c r="E327" s="1"/>
      <c r="F327" s="5">
        <v>155.6</v>
      </c>
      <c r="G327" s="5"/>
      <c r="H327" s="5">
        <f t="shared" si="58"/>
        <v>15.56</v>
      </c>
      <c r="I327" s="5"/>
      <c r="J327" s="1"/>
      <c r="K327" s="5"/>
      <c r="L327" s="5">
        <f t="shared" si="56"/>
        <v>0</v>
      </c>
      <c r="M327" s="5">
        <v>187.42</v>
      </c>
      <c r="N327" s="1">
        <v>44852</v>
      </c>
      <c r="O327" s="6"/>
      <c r="P327" s="7">
        <f t="shared" si="57"/>
        <v>16.259999999999991</v>
      </c>
      <c r="Q327" s="3"/>
    </row>
    <row r="328" spans="1:17">
      <c r="A328" s="1">
        <v>44852</v>
      </c>
      <c r="B328" s="25" t="s">
        <v>213</v>
      </c>
      <c r="C328" s="3" t="s">
        <v>158</v>
      </c>
      <c r="D328" s="4" t="s">
        <v>649</v>
      </c>
      <c r="E328" s="1"/>
      <c r="F328" s="5">
        <v>14.78</v>
      </c>
      <c r="G328" s="5"/>
      <c r="H328" s="5">
        <f t="shared" si="58"/>
        <v>1.4779999999999998</v>
      </c>
      <c r="I328" s="5"/>
      <c r="J328" s="1">
        <v>44872</v>
      </c>
      <c r="K328" s="5">
        <v>0.1</v>
      </c>
      <c r="L328" s="5">
        <f t="shared" si="56"/>
        <v>1.1000000000000001</v>
      </c>
      <c r="M328" s="5">
        <v>565</v>
      </c>
      <c r="N328" s="1">
        <v>44855</v>
      </c>
      <c r="O328" s="6"/>
      <c r="P328" s="7">
        <f t="shared" si="57"/>
        <v>547.64200000000005</v>
      </c>
      <c r="Q328" s="3"/>
    </row>
    <row r="329" spans="1:17" ht="15" customHeight="1">
      <c r="A329" s="1">
        <v>44852</v>
      </c>
      <c r="B329" s="25" t="s">
        <v>60</v>
      </c>
      <c r="C329" s="3" t="s">
        <v>506</v>
      </c>
      <c r="D329" s="4" t="s">
        <v>650</v>
      </c>
      <c r="E329" s="1"/>
      <c r="F329" s="5">
        <v>160</v>
      </c>
      <c r="G329" s="5"/>
      <c r="H329" s="29">
        <f t="shared" si="58"/>
        <v>16</v>
      </c>
      <c r="I329" s="5"/>
      <c r="J329" s="1">
        <v>44867</v>
      </c>
      <c r="K329" s="5">
        <v>0.9</v>
      </c>
      <c r="L329" s="5">
        <f t="shared" si="56"/>
        <v>9.9</v>
      </c>
      <c r="M329" s="5">
        <v>180</v>
      </c>
      <c r="N329" s="1">
        <v>44863</v>
      </c>
      <c r="O329" s="6"/>
      <c r="P329" s="7">
        <f t="shared" si="57"/>
        <v>-5.9000000000000057</v>
      </c>
      <c r="Q329" s="3"/>
    </row>
    <row r="330" spans="1:17">
      <c r="A330" s="1">
        <v>44853</v>
      </c>
      <c r="B330" s="25" t="s">
        <v>99</v>
      </c>
      <c r="C330" s="3" t="s">
        <v>262</v>
      </c>
      <c r="D330" s="37" t="s">
        <v>651</v>
      </c>
      <c r="E330" s="1"/>
      <c r="F330" s="5">
        <v>169</v>
      </c>
      <c r="G330" s="5"/>
      <c r="H330" s="29">
        <f t="shared" si="58"/>
        <v>16.899999999999999</v>
      </c>
      <c r="I330" s="5"/>
      <c r="J330" s="1">
        <v>44862</v>
      </c>
      <c r="K330" s="5">
        <v>1.23</v>
      </c>
      <c r="L330" s="5">
        <f t="shared" si="56"/>
        <v>13.53</v>
      </c>
      <c r="M330" s="5">
        <v>200</v>
      </c>
      <c r="N330" s="1">
        <v>44853</v>
      </c>
      <c r="O330" s="6"/>
      <c r="P330" s="7">
        <f t="shared" si="57"/>
        <v>0.56999999999999318</v>
      </c>
      <c r="Q330" s="3"/>
    </row>
    <row r="331" spans="1:17">
      <c r="A331" s="1">
        <v>44853</v>
      </c>
      <c r="B331" s="25" t="s">
        <v>653</v>
      </c>
      <c r="C331" s="3" t="s">
        <v>652</v>
      </c>
      <c r="D331" s="4" t="s">
        <v>654</v>
      </c>
      <c r="E331" s="1"/>
      <c r="F331" s="5">
        <v>33.97</v>
      </c>
      <c r="G331" s="5"/>
      <c r="H331" s="29">
        <f t="shared" si="58"/>
        <v>3.3970000000000002</v>
      </c>
      <c r="I331" s="5"/>
      <c r="J331" s="1">
        <v>44867</v>
      </c>
      <c r="K331" s="5">
        <v>0.5</v>
      </c>
      <c r="L331" s="5">
        <f t="shared" si="56"/>
        <v>5.5</v>
      </c>
      <c r="M331" s="5">
        <v>37.369999999999997</v>
      </c>
      <c r="N331" s="1">
        <v>44853</v>
      </c>
      <c r="O331" s="6"/>
      <c r="P331" s="7">
        <f t="shared" si="57"/>
        <v>-5.4969999999999999</v>
      </c>
      <c r="Q331" s="3"/>
    </row>
    <row r="332" spans="1:17" ht="15" customHeight="1">
      <c r="A332" s="1">
        <v>44853</v>
      </c>
      <c r="B332" s="25" t="s">
        <v>657</v>
      </c>
      <c r="C332" s="3" t="s">
        <v>44</v>
      </c>
      <c r="D332" s="4" t="s">
        <v>656</v>
      </c>
      <c r="E332" s="1"/>
      <c r="F332" s="5">
        <v>134.94999999999999</v>
      </c>
      <c r="G332" s="5"/>
      <c r="H332" s="5">
        <f t="shared" si="58"/>
        <v>13.494999999999999</v>
      </c>
      <c r="I332" s="5"/>
      <c r="J332" s="1"/>
      <c r="K332" s="5"/>
      <c r="L332" s="5">
        <f t="shared" si="56"/>
        <v>0</v>
      </c>
      <c r="M332" s="5"/>
      <c r="N332" s="1"/>
      <c r="O332" s="6"/>
      <c r="P332" s="7">
        <f t="shared" si="57"/>
        <v>-148.44499999999999</v>
      </c>
      <c r="Q332" s="3"/>
    </row>
    <row r="333" spans="1:17" ht="15" customHeight="1">
      <c r="A333" s="1">
        <v>44853</v>
      </c>
      <c r="B333" s="25" t="s">
        <v>657</v>
      </c>
      <c r="C333" s="3" t="s">
        <v>44</v>
      </c>
      <c r="D333" s="4" t="s">
        <v>658</v>
      </c>
      <c r="E333" s="1"/>
      <c r="F333" s="5">
        <v>65</v>
      </c>
      <c r="G333" s="5"/>
      <c r="H333" s="5">
        <f t="shared" si="58"/>
        <v>6.5</v>
      </c>
      <c r="I333" s="5"/>
      <c r="J333" s="1"/>
      <c r="K333" s="5"/>
      <c r="L333" s="5">
        <f t="shared" si="56"/>
        <v>0</v>
      </c>
      <c r="M333" s="5"/>
      <c r="N333" s="1"/>
      <c r="O333" s="6"/>
      <c r="P333" s="7">
        <f t="shared" si="57"/>
        <v>-71.5</v>
      </c>
      <c r="Q333" s="3"/>
    </row>
    <row r="334" spans="1:17">
      <c r="A334" s="1">
        <v>44853</v>
      </c>
      <c r="B334" s="25" t="s">
        <v>660</v>
      </c>
      <c r="C334" s="3" t="s">
        <v>44</v>
      </c>
      <c r="D334" s="4" t="s">
        <v>659</v>
      </c>
      <c r="E334" s="1"/>
      <c r="F334" s="5">
        <v>90</v>
      </c>
      <c r="G334" s="5"/>
      <c r="H334" s="29">
        <f t="shared" si="58"/>
        <v>9</v>
      </c>
      <c r="I334" s="5"/>
      <c r="J334" s="1">
        <v>44867</v>
      </c>
      <c r="K334" s="5">
        <v>0.8</v>
      </c>
      <c r="L334" s="5">
        <f t="shared" si="56"/>
        <v>8.8000000000000007</v>
      </c>
      <c r="M334" s="5"/>
      <c r="N334" s="1"/>
      <c r="O334" s="6"/>
      <c r="P334" s="7">
        <f t="shared" si="57"/>
        <v>-107.8</v>
      </c>
      <c r="Q334" s="3"/>
    </row>
    <row r="335" spans="1:17" ht="15" customHeight="1">
      <c r="A335" s="1">
        <v>44854</v>
      </c>
      <c r="B335" s="25" t="s">
        <v>41</v>
      </c>
      <c r="C335" s="3" t="s">
        <v>145</v>
      </c>
      <c r="D335" s="4" t="s">
        <v>661</v>
      </c>
      <c r="E335" s="1"/>
      <c r="F335" s="5">
        <v>28.5</v>
      </c>
      <c r="G335" s="5"/>
      <c r="H335" s="29">
        <f t="shared" si="58"/>
        <v>2.8499999999999996</v>
      </c>
      <c r="I335" s="5"/>
      <c r="J335" s="1">
        <v>44867</v>
      </c>
      <c r="K335" s="5">
        <v>0.18</v>
      </c>
      <c r="L335" s="5">
        <f t="shared" si="56"/>
        <v>1.98</v>
      </c>
      <c r="M335" s="5">
        <v>33.33</v>
      </c>
      <c r="N335" s="1">
        <v>44869</v>
      </c>
      <c r="O335" s="6"/>
      <c r="P335" s="7">
        <f t="shared" si="57"/>
        <v>0</v>
      </c>
      <c r="Q335" s="3"/>
    </row>
    <row r="336" spans="1:17" ht="15" customHeight="1">
      <c r="A336" s="1">
        <v>44854</v>
      </c>
      <c r="B336" s="25" t="s">
        <v>663</v>
      </c>
      <c r="C336" s="3" t="s">
        <v>89</v>
      </c>
      <c r="D336" s="4" t="s">
        <v>662</v>
      </c>
      <c r="E336" s="1"/>
      <c r="F336" s="5">
        <v>105.48</v>
      </c>
      <c r="G336" s="5"/>
      <c r="H336" s="5">
        <f t="shared" si="58"/>
        <v>10.548</v>
      </c>
      <c r="I336" s="5"/>
      <c r="J336" s="1"/>
      <c r="K336" s="5"/>
      <c r="L336" s="5">
        <f t="shared" si="56"/>
        <v>0</v>
      </c>
      <c r="M336" s="5"/>
      <c r="N336" s="1"/>
      <c r="O336" s="6"/>
      <c r="P336" s="7">
        <f t="shared" si="57"/>
        <v>-116.02800000000001</v>
      </c>
      <c r="Q336" s="3"/>
    </row>
    <row r="337" spans="1:17" ht="15" customHeight="1">
      <c r="A337" s="1">
        <v>44854</v>
      </c>
      <c r="B337" s="25" t="s">
        <v>664</v>
      </c>
      <c r="C337" s="3" t="s">
        <v>89</v>
      </c>
      <c r="D337" s="4" t="s">
        <v>665</v>
      </c>
      <c r="E337" s="1"/>
      <c r="F337" s="5">
        <v>216</v>
      </c>
      <c r="G337" s="5"/>
      <c r="H337" s="5">
        <f t="shared" si="58"/>
        <v>21.6</v>
      </c>
      <c r="I337" s="5"/>
      <c r="J337" s="1">
        <v>44872</v>
      </c>
      <c r="K337" s="5">
        <v>0</v>
      </c>
      <c r="L337" s="5">
        <f t="shared" si="56"/>
        <v>0</v>
      </c>
      <c r="M337" s="5"/>
      <c r="N337" s="1"/>
      <c r="O337" s="6"/>
      <c r="P337" s="7">
        <f t="shared" si="57"/>
        <v>-237.6</v>
      </c>
      <c r="Q337" s="3"/>
    </row>
    <row r="338" spans="1:17" ht="15" customHeight="1">
      <c r="A338" s="1">
        <v>44855</v>
      </c>
      <c r="B338" s="25" t="s">
        <v>33</v>
      </c>
      <c r="C338" s="3" t="s">
        <v>153</v>
      </c>
      <c r="D338" s="4" t="s">
        <v>666</v>
      </c>
      <c r="E338" s="1"/>
      <c r="F338" s="5">
        <v>120</v>
      </c>
      <c r="G338" s="5"/>
      <c r="H338" s="29">
        <f t="shared" si="58"/>
        <v>12</v>
      </c>
      <c r="I338" s="5"/>
      <c r="J338" s="1">
        <v>44867</v>
      </c>
      <c r="K338" s="5">
        <v>5.9</v>
      </c>
      <c r="L338" s="5">
        <f t="shared" si="56"/>
        <v>64.900000000000006</v>
      </c>
      <c r="M338" s="5">
        <v>330</v>
      </c>
      <c r="N338" s="1">
        <v>44868</v>
      </c>
      <c r="O338" s="6"/>
      <c r="P338" s="7">
        <f t="shared" si="57"/>
        <v>133.1</v>
      </c>
      <c r="Q338" s="3"/>
    </row>
    <row r="339" spans="1:17">
      <c r="A339" s="1">
        <v>44855</v>
      </c>
      <c r="B339" s="25" t="s">
        <v>152</v>
      </c>
      <c r="C339" s="3" t="s">
        <v>153</v>
      </c>
      <c r="D339" s="4" t="s">
        <v>667</v>
      </c>
      <c r="E339" s="1"/>
      <c r="F339" s="5">
        <v>149.38999999999999</v>
      </c>
      <c r="G339" s="5"/>
      <c r="H339" s="29">
        <f t="shared" si="58"/>
        <v>14.938999999999998</v>
      </c>
      <c r="I339" s="5"/>
      <c r="J339" s="1">
        <v>44867</v>
      </c>
      <c r="K339" s="5">
        <v>0</v>
      </c>
      <c r="L339" s="5">
        <f t="shared" si="56"/>
        <v>0</v>
      </c>
      <c r="M339" s="5"/>
      <c r="N339" s="1"/>
      <c r="O339" s="6"/>
      <c r="P339" s="7">
        <f t="shared" si="57"/>
        <v>-164.32899999999998</v>
      </c>
      <c r="Q339" s="3"/>
    </row>
    <row r="340" spans="1:17" ht="15" customHeight="1">
      <c r="A340" s="1">
        <v>44855</v>
      </c>
      <c r="B340" s="25" t="s">
        <v>51</v>
      </c>
      <c r="C340" s="3" t="s">
        <v>158</v>
      </c>
      <c r="D340" s="4" t="s">
        <v>668</v>
      </c>
      <c r="E340" s="1"/>
      <c r="F340" s="5">
        <v>119.8</v>
      </c>
      <c r="G340" s="5"/>
      <c r="H340" s="5">
        <f t="shared" ref="H340:H362" si="66">(F340/100)*10</f>
        <v>11.98</v>
      </c>
      <c r="I340" s="5"/>
      <c r="J340" s="1"/>
      <c r="K340" s="5"/>
      <c r="L340" s="5">
        <f t="shared" ref="L340:L362" si="67">K340*11</f>
        <v>0</v>
      </c>
      <c r="M340" s="5"/>
      <c r="N340" s="1"/>
      <c r="O340" s="6"/>
      <c r="P340" s="7">
        <f t="shared" ref="P340:P362" si="68">M340-(F340+G340+H340+L340)</f>
        <v>-131.78</v>
      </c>
      <c r="Q340" s="3"/>
    </row>
    <row r="341" spans="1:17" ht="15" customHeight="1">
      <c r="A341" s="1">
        <v>44855</v>
      </c>
      <c r="B341" s="25" t="s">
        <v>51</v>
      </c>
      <c r="C341" s="3" t="s">
        <v>158</v>
      </c>
      <c r="D341" s="4" t="s">
        <v>668</v>
      </c>
      <c r="E341" s="1"/>
      <c r="F341" s="5">
        <v>174.4</v>
      </c>
      <c r="G341" s="5"/>
      <c r="H341" s="5">
        <f t="shared" si="66"/>
        <v>17.440000000000001</v>
      </c>
      <c r="I341" s="5"/>
      <c r="J341" s="1"/>
      <c r="K341" s="5"/>
      <c r="L341" s="5">
        <f t="shared" si="67"/>
        <v>0</v>
      </c>
      <c r="M341" s="5"/>
      <c r="N341" s="1"/>
      <c r="O341" s="6"/>
      <c r="P341" s="7">
        <f t="shared" si="68"/>
        <v>-191.84</v>
      </c>
      <c r="Q341" s="3"/>
    </row>
    <row r="342" spans="1:17">
      <c r="A342" s="1">
        <v>44855</v>
      </c>
      <c r="B342" s="25" t="s">
        <v>51</v>
      </c>
      <c r="C342" s="3" t="s">
        <v>158</v>
      </c>
      <c r="D342" s="4" t="s">
        <v>669</v>
      </c>
      <c r="E342" s="1"/>
      <c r="F342" s="5">
        <v>217.87</v>
      </c>
      <c r="G342" s="5"/>
      <c r="H342" s="5">
        <f t="shared" si="66"/>
        <v>21.786999999999999</v>
      </c>
      <c r="I342" s="5"/>
      <c r="J342" s="1"/>
      <c r="K342" s="5"/>
      <c r="L342" s="5">
        <f t="shared" si="67"/>
        <v>0</v>
      </c>
      <c r="M342" s="5"/>
      <c r="N342" s="1"/>
      <c r="O342" s="6"/>
      <c r="P342" s="7">
        <f t="shared" si="68"/>
        <v>-239.65700000000001</v>
      </c>
      <c r="Q342" s="3"/>
    </row>
    <row r="343" spans="1:17">
      <c r="A343" s="1">
        <v>44855</v>
      </c>
      <c r="B343" s="25" t="s">
        <v>671</v>
      </c>
      <c r="C343" s="3" t="s">
        <v>28</v>
      </c>
      <c r="D343" s="4" t="s">
        <v>670</v>
      </c>
      <c r="E343" s="1" t="s">
        <v>585</v>
      </c>
      <c r="F343" s="5">
        <v>174</v>
      </c>
      <c r="G343" s="5"/>
      <c r="H343" s="5">
        <f t="shared" si="66"/>
        <v>17.399999999999999</v>
      </c>
      <c r="I343" s="5">
        <v>16.600000000000001</v>
      </c>
      <c r="J343" s="1"/>
      <c r="K343" s="5"/>
      <c r="L343" s="5">
        <f t="shared" si="67"/>
        <v>0</v>
      </c>
      <c r="M343" s="5"/>
      <c r="N343" s="1"/>
      <c r="O343" s="6"/>
      <c r="P343" s="7">
        <f t="shared" si="68"/>
        <v>-191.4</v>
      </c>
      <c r="Q343" s="3"/>
    </row>
    <row r="344" spans="1:17" ht="15" customHeight="1">
      <c r="A344" s="1">
        <v>44855</v>
      </c>
      <c r="B344" s="25" t="s">
        <v>672</v>
      </c>
      <c r="C344" s="3" t="s">
        <v>132</v>
      </c>
      <c r="D344" s="42" t="s">
        <v>688</v>
      </c>
      <c r="E344" s="1"/>
      <c r="F344" s="5">
        <v>223</v>
      </c>
      <c r="G344" s="5"/>
      <c r="H344" s="5">
        <f t="shared" si="66"/>
        <v>22.3</v>
      </c>
      <c r="I344" s="5"/>
      <c r="J344" s="1">
        <v>44872</v>
      </c>
      <c r="K344" s="5">
        <v>1.4</v>
      </c>
      <c r="L344" s="5">
        <f t="shared" si="67"/>
        <v>15.399999999999999</v>
      </c>
      <c r="M344" s="5"/>
      <c r="N344" s="1"/>
      <c r="O344" s="6"/>
      <c r="P344" s="7">
        <f t="shared" si="68"/>
        <v>-260.7</v>
      </c>
      <c r="Q344" s="3"/>
    </row>
    <row r="345" spans="1:17" ht="15" customHeight="1">
      <c r="A345" s="1">
        <v>44855</v>
      </c>
      <c r="B345" s="25" t="s">
        <v>246</v>
      </c>
      <c r="C345" s="3" t="s">
        <v>673</v>
      </c>
      <c r="D345" s="4" t="s">
        <v>674</v>
      </c>
      <c r="E345" s="1"/>
      <c r="F345" s="5">
        <v>58.07</v>
      </c>
      <c r="G345" s="5"/>
      <c r="H345" s="29">
        <f t="shared" si="66"/>
        <v>5.8070000000000004</v>
      </c>
      <c r="I345" s="5"/>
      <c r="J345" s="1">
        <v>44867</v>
      </c>
      <c r="K345" s="5">
        <v>1.1000000000000001</v>
      </c>
      <c r="L345" s="5">
        <f t="shared" si="67"/>
        <v>12.100000000000001</v>
      </c>
      <c r="M345" s="5">
        <f>63.9+12</f>
        <v>75.900000000000006</v>
      </c>
      <c r="N345" s="1">
        <v>44856</v>
      </c>
      <c r="O345" s="6"/>
      <c r="P345" s="7">
        <f t="shared" si="68"/>
        <v>-7.6999999999998181E-2</v>
      </c>
      <c r="Q345" s="3"/>
    </row>
    <row r="346" spans="1:17">
      <c r="A346" s="1">
        <v>44855</v>
      </c>
      <c r="B346" s="25" t="s">
        <v>38</v>
      </c>
      <c r="C346" s="3" t="s">
        <v>28</v>
      </c>
      <c r="D346" s="4" t="s">
        <v>675</v>
      </c>
      <c r="E346" s="1"/>
      <c r="F346" s="5">
        <v>244</v>
      </c>
      <c r="G346" s="5"/>
      <c r="H346" s="5">
        <f t="shared" si="66"/>
        <v>24.4</v>
      </c>
      <c r="I346" s="5"/>
      <c r="J346" s="1"/>
      <c r="K346" s="5"/>
      <c r="L346" s="5">
        <f t="shared" si="67"/>
        <v>0</v>
      </c>
      <c r="M346" s="5"/>
      <c r="N346" s="1"/>
      <c r="O346" s="6"/>
      <c r="P346" s="7">
        <f t="shared" si="68"/>
        <v>-268.39999999999998</v>
      </c>
      <c r="Q346" s="3"/>
    </row>
    <row r="347" spans="1:17" ht="15" customHeight="1">
      <c r="A347" s="1">
        <v>44855</v>
      </c>
      <c r="B347" s="25" t="s">
        <v>41</v>
      </c>
      <c r="C347" s="3" t="s">
        <v>132</v>
      </c>
      <c r="D347" s="4" t="s">
        <v>676</v>
      </c>
      <c r="E347" s="1"/>
      <c r="F347" s="5">
        <v>28.74</v>
      </c>
      <c r="G347" s="5"/>
      <c r="H347" s="5">
        <f t="shared" si="66"/>
        <v>2.8739999999999997</v>
      </c>
      <c r="I347" s="5"/>
      <c r="J347" s="1"/>
      <c r="K347" s="5"/>
      <c r="L347" s="5">
        <f t="shared" si="67"/>
        <v>0</v>
      </c>
      <c r="M347" s="5"/>
      <c r="N347" s="1"/>
      <c r="O347" s="6"/>
      <c r="P347" s="7">
        <f t="shared" si="68"/>
        <v>-31.613999999999997</v>
      </c>
      <c r="Q347" s="3"/>
    </row>
    <row r="348" spans="1:17">
      <c r="A348" s="1">
        <v>44855</v>
      </c>
      <c r="B348" s="25" t="s">
        <v>17</v>
      </c>
      <c r="C348" s="3" t="s">
        <v>39</v>
      </c>
      <c r="D348" s="4" t="s">
        <v>677</v>
      </c>
      <c r="E348" s="1"/>
      <c r="F348" s="5">
        <v>36.82</v>
      </c>
      <c r="G348" s="5"/>
      <c r="H348" s="5">
        <f t="shared" si="66"/>
        <v>3.6820000000000004</v>
      </c>
      <c r="I348" s="5"/>
      <c r="J348" s="1">
        <v>44872</v>
      </c>
      <c r="K348" s="5">
        <v>0.3</v>
      </c>
      <c r="L348" s="5">
        <f t="shared" si="67"/>
        <v>3.3</v>
      </c>
      <c r="M348" s="5"/>
      <c r="N348" s="1"/>
      <c r="O348" s="6"/>
      <c r="P348" s="7">
        <f t="shared" si="68"/>
        <v>-43.802</v>
      </c>
      <c r="Q348" s="3"/>
    </row>
    <row r="349" spans="1:17">
      <c r="A349" s="1">
        <v>44855</v>
      </c>
      <c r="B349" s="25" t="s">
        <v>678</v>
      </c>
      <c r="C349" s="3" t="s">
        <v>28</v>
      </c>
      <c r="D349" s="4" t="s">
        <v>679</v>
      </c>
      <c r="E349" s="1"/>
      <c r="F349" s="5">
        <v>138.03</v>
      </c>
      <c r="G349" s="5"/>
      <c r="H349" s="5">
        <f t="shared" si="66"/>
        <v>13.803000000000001</v>
      </c>
      <c r="I349" s="5"/>
      <c r="J349" s="1"/>
      <c r="K349" s="5"/>
      <c r="L349" s="5">
        <f t="shared" si="67"/>
        <v>0</v>
      </c>
      <c r="M349" s="5"/>
      <c r="N349" s="1"/>
      <c r="O349" s="6"/>
      <c r="P349" s="7">
        <f t="shared" si="68"/>
        <v>-151.833</v>
      </c>
      <c r="Q349" s="3"/>
    </row>
    <row r="350" spans="1:17" ht="15" customHeight="1">
      <c r="A350" s="1">
        <v>44855</v>
      </c>
      <c r="B350" s="25" t="s">
        <v>215</v>
      </c>
      <c r="C350" s="3" t="s">
        <v>28</v>
      </c>
      <c r="D350" s="4" t="s">
        <v>680</v>
      </c>
      <c r="E350" s="1"/>
      <c r="F350" s="5">
        <v>266</v>
      </c>
      <c r="G350" s="5"/>
      <c r="H350" s="5">
        <f t="shared" si="66"/>
        <v>26.6</v>
      </c>
      <c r="I350" s="5"/>
      <c r="J350" s="1">
        <v>44867</v>
      </c>
      <c r="K350" s="5">
        <v>0</v>
      </c>
      <c r="L350" s="5">
        <f t="shared" si="67"/>
        <v>0</v>
      </c>
      <c r="M350" s="5"/>
      <c r="N350" s="1"/>
      <c r="O350" s="6"/>
      <c r="P350" s="7">
        <f t="shared" si="68"/>
        <v>-292.60000000000002</v>
      </c>
      <c r="Q350" s="3" t="s">
        <v>344</v>
      </c>
    </row>
    <row r="351" spans="1:17" ht="15" customHeight="1">
      <c r="A351" s="1">
        <v>44855</v>
      </c>
      <c r="B351" s="25" t="s">
        <v>215</v>
      </c>
      <c r="C351" s="3" t="s">
        <v>28</v>
      </c>
      <c r="D351" s="4" t="s">
        <v>680</v>
      </c>
      <c r="E351" s="1"/>
      <c r="F351" s="5"/>
      <c r="G351" s="5"/>
      <c r="H351" s="5">
        <f t="shared" ref="H351" si="69">(F351/100)*10</f>
        <v>0</v>
      </c>
      <c r="I351" s="5"/>
      <c r="J351" s="1">
        <v>44872</v>
      </c>
      <c r="K351" s="5">
        <v>1</v>
      </c>
      <c r="L351" s="5">
        <f t="shared" ref="L351" si="70">K351*11</f>
        <v>11</v>
      </c>
      <c r="M351" s="5"/>
      <c r="N351" s="1"/>
      <c r="O351" s="6"/>
      <c r="P351" s="7">
        <f t="shared" ref="P351" si="71">M351-(F351+G351+H351+L351)</f>
        <v>-11</v>
      </c>
      <c r="Q351" s="3" t="s">
        <v>344</v>
      </c>
    </row>
    <row r="352" spans="1:17" ht="15" customHeight="1">
      <c r="A352" s="1">
        <v>44855</v>
      </c>
      <c r="B352" s="25" t="s">
        <v>565</v>
      </c>
      <c r="C352" s="3" t="s">
        <v>28</v>
      </c>
      <c r="D352" s="4" t="s">
        <v>681</v>
      </c>
      <c r="E352" s="1"/>
      <c r="F352" s="5">
        <v>206</v>
      </c>
      <c r="G352" s="5"/>
      <c r="H352" s="29">
        <f t="shared" si="66"/>
        <v>20.6</v>
      </c>
      <c r="I352" s="5"/>
      <c r="J352" s="1">
        <v>44862</v>
      </c>
      <c r="K352" s="5">
        <v>0</v>
      </c>
      <c r="L352" s="5">
        <f t="shared" si="67"/>
        <v>0</v>
      </c>
      <c r="M352" s="5"/>
      <c r="N352" s="1"/>
      <c r="O352" s="6"/>
      <c r="P352" s="7">
        <f t="shared" si="68"/>
        <v>-226.6</v>
      </c>
      <c r="Q352" s="3"/>
    </row>
    <row r="353" spans="1:17">
      <c r="A353" s="1">
        <v>44855</v>
      </c>
      <c r="B353" s="54" t="s">
        <v>682</v>
      </c>
      <c r="C353" s="3" t="s">
        <v>28</v>
      </c>
      <c r="D353" s="4" t="s">
        <v>683</v>
      </c>
      <c r="E353" s="1"/>
      <c r="F353" s="5">
        <v>296</v>
      </c>
      <c r="G353" s="5"/>
      <c r="H353" s="5">
        <f t="shared" si="66"/>
        <v>29.6</v>
      </c>
      <c r="I353" s="5"/>
      <c r="J353" s="1">
        <v>44867</v>
      </c>
      <c r="K353" s="5">
        <v>0</v>
      </c>
      <c r="L353" s="5">
        <f t="shared" si="67"/>
        <v>0</v>
      </c>
      <c r="M353" s="5"/>
      <c r="N353" s="1"/>
      <c r="O353" s="6"/>
      <c r="P353" s="7">
        <f t="shared" si="68"/>
        <v>-325.60000000000002</v>
      </c>
      <c r="Q353" s="3" t="s">
        <v>722</v>
      </c>
    </row>
    <row r="354" spans="1:17">
      <c r="A354" s="1">
        <v>44855</v>
      </c>
      <c r="B354" s="54" t="s">
        <v>682</v>
      </c>
      <c r="C354" s="3" t="s">
        <v>28</v>
      </c>
      <c r="D354" s="4" t="s">
        <v>683</v>
      </c>
      <c r="E354" s="1"/>
      <c r="F354" s="5"/>
      <c r="G354" s="5"/>
      <c r="H354" s="5">
        <f t="shared" ref="H354" si="72">(F354/100)*10</f>
        <v>0</v>
      </c>
      <c r="I354" s="5"/>
      <c r="J354" s="1">
        <v>44872</v>
      </c>
      <c r="K354" s="5">
        <v>0</v>
      </c>
      <c r="L354" s="5">
        <f t="shared" ref="L354" si="73">K354*11</f>
        <v>0</v>
      </c>
      <c r="M354" s="5"/>
      <c r="N354" s="1"/>
      <c r="O354" s="6"/>
      <c r="P354" s="7">
        <f t="shared" ref="P354" si="74">M354-(F354+G354+H354+L354)</f>
        <v>0</v>
      </c>
      <c r="Q354" s="3" t="s">
        <v>722</v>
      </c>
    </row>
    <row r="355" spans="1:17" ht="15" customHeight="1">
      <c r="A355" s="1">
        <v>44855</v>
      </c>
      <c r="B355" s="25" t="s">
        <v>70</v>
      </c>
      <c r="C355" s="3" t="s">
        <v>28</v>
      </c>
      <c r="D355" s="4" t="s">
        <v>684</v>
      </c>
      <c r="E355" s="1"/>
      <c r="F355" s="5">
        <v>46.99</v>
      </c>
      <c r="G355" s="5"/>
      <c r="H355" s="5">
        <f t="shared" si="66"/>
        <v>4.6990000000000007</v>
      </c>
      <c r="I355" s="5"/>
      <c r="J355" s="1"/>
      <c r="K355" s="5"/>
      <c r="L355" s="5">
        <f t="shared" si="67"/>
        <v>0</v>
      </c>
      <c r="M355" s="5"/>
      <c r="N355" s="1"/>
      <c r="O355" s="6"/>
      <c r="P355" s="7">
        <f t="shared" si="68"/>
        <v>-51.689</v>
      </c>
      <c r="Q355" s="3"/>
    </row>
    <row r="356" spans="1:17">
      <c r="A356" s="1">
        <v>44855</v>
      </c>
      <c r="B356" s="25" t="s">
        <v>686</v>
      </c>
      <c r="C356" s="3" t="s">
        <v>28</v>
      </c>
      <c r="D356" s="4" t="s">
        <v>685</v>
      </c>
      <c r="E356" s="1"/>
      <c r="F356" s="5">
        <v>171.23</v>
      </c>
      <c r="G356" s="5"/>
      <c r="H356" s="5">
        <f t="shared" si="66"/>
        <v>17.122999999999998</v>
      </c>
      <c r="I356" s="5"/>
      <c r="J356" s="1"/>
      <c r="K356" s="5"/>
      <c r="L356" s="5">
        <f t="shared" si="67"/>
        <v>0</v>
      </c>
      <c r="M356" s="5"/>
      <c r="N356" s="1"/>
      <c r="O356" s="6"/>
      <c r="P356" s="7">
        <f t="shared" si="68"/>
        <v>-188.35299999999998</v>
      </c>
      <c r="Q356" s="3"/>
    </row>
    <row r="357" spans="1:17" ht="15" customHeight="1">
      <c r="A357" s="1">
        <v>44856</v>
      </c>
      <c r="B357" s="25" t="s">
        <v>70</v>
      </c>
      <c r="C357" s="3" t="s">
        <v>69</v>
      </c>
      <c r="D357" s="4" t="s">
        <v>689</v>
      </c>
      <c r="E357" s="1"/>
      <c r="F357" s="5">
        <v>69.98</v>
      </c>
      <c r="G357" s="5"/>
      <c r="H357" s="29">
        <f t="shared" si="66"/>
        <v>6.9980000000000011</v>
      </c>
      <c r="I357" s="5"/>
      <c r="J357" s="1">
        <v>44867</v>
      </c>
      <c r="K357" s="5">
        <v>1</v>
      </c>
      <c r="L357" s="5">
        <f t="shared" si="67"/>
        <v>11</v>
      </c>
      <c r="M357" s="5"/>
      <c r="N357" s="1"/>
      <c r="O357" s="6"/>
      <c r="P357" s="7">
        <f t="shared" si="68"/>
        <v>-87.978000000000009</v>
      </c>
      <c r="Q357" s="3"/>
    </row>
    <row r="358" spans="1:17">
      <c r="A358" s="1">
        <v>44856</v>
      </c>
      <c r="B358" s="25" t="s">
        <v>416</v>
      </c>
      <c r="C358" s="3" t="s">
        <v>89</v>
      </c>
      <c r="D358" s="4" t="s">
        <v>690</v>
      </c>
      <c r="E358" s="1"/>
      <c r="F358" s="5">
        <v>557</v>
      </c>
      <c r="G358" s="5"/>
      <c r="H358" s="5">
        <f t="shared" si="66"/>
        <v>55.7</v>
      </c>
      <c r="I358" s="5"/>
      <c r="J358" s="1">
        <v>44872</v>
      </c>
      <c r="K358" s="5">
        <v>1.9</v>
      </c>
      <c r="L358" s="5">
        <f t="shared" si="67"/>
        <v>20.9</v>
      </c>
      <c r="M358" s="5"/>
      <c r="N358" s="1"/>
      <c r="O358" s="6"/>
      <c r="P358" s="7">
        <f t="shared" si="68"/>
        <v>-633.6</v>
      </c>
      <c r="Q358" s="3"/>
    </row>
    <row r="359" spans="1:17">
      <c r="A359" s="1">
        <v>44856</v>
      </c>
      <c r="B359" s="25" t="s">
        <v>152</v>
      </c>
      <c r="C359" s="3" t="s">
        <v>153</v>
      </c>
      <c r="D359" s="4" t="s">
        <v>691</v>
      </c>
      <c r="E359" s="1"/>
      <c r="F359" s="5">
        <v>101.25</v>
      </c>
      <c r="G359" s="5"/>
      <c r="H359" s="29">
        <f t="shared" si="66"/>
        <v>10.125</v>
      </c>
      <c r="I359" s="5"/>
      <c r="J359" s="1">
        <v>44867</v>
      </c>
      <c r="K359" s="5">
        <v>0</v>
      </c>
      <c r="L359" s="5">
        <f t="shared" si="67"/>
        <v>0</v>
      </c>
      <c r="M359" s="5"/>
      <c r="N359" s="1"/>
      <c r="O359" s="6"/>
      <c r="P359" s="7">
        <f t="shared" si="68"/>
        <v>-111.375</v>
      </c>
      <c r="Q359" s="3"/>
    </row>
    <row r="360" spans="1:17" ht="15" customHeight="1">
      <c r="A360" s="1">
        <v>44858</v>
      </c>
      <c r="B360" s="25" t="s">
        <v>693</v>
      </c>
      <c r="C360" s="3" t="s">
        <v>28</v>
      </c>
      <c r="D360" s="4" t="s">
        <v>692</v>
      </c>
      <c r="E360" s="1"/>
      <c r="F360" s="5">
        <v>231</v>
      </c>
      <c r="G360" s="5"/>
      <c r="H360" s="5">
        <f t="shared" si="66"/>
        <v>23.1</v>
      </c>
      <c r="I360" s="5"/>
      <c r="J360" s="1"/>
      <c r="K360" s="5"/>
      <c r="L360" s="5">
        <f t="shared" si="67"/>
        <v>0</v>
      </c>
      <c r="M360" s="5"/>
      <c r="N360" s="1"/>
      <c r="O360" s="6"/>
      <c r="P360" s="7">
        <f t="shared" si="68"/>
        <v>-254.1</v>
      </c>
      <c r="Q360" s="3"/>
    </row>
    <row r="361" spans="1:17">
      <c r="A361" s="1">
        <v>44858</v>
      </c>
      <c r="B361" s="25" t="s">
        <v>678</v>
      </c>
      <c r="C361" s="3" t="s">
        <v>28</v>
      </c>
      <c r="D361" s="4" t="s">
        <v>694</v>
      </c>
      <c r="E361" s="1"/>
      <c r="F361" s="5">
        <v>1270</v>
      </c>
      <c r="G361" s="5"/>
      <c r="H361" s="5">
        <f t="shared" si="66"/>
        <v>127</v>
      </c>
      <c r="I361" s="5"/>
      <c r="J361" s="1"/>
      <c r="K361" s="5"/>
      <c r="L361" s="5">
        <f t="shared" si="67"/>
        <v>0</v>
      </c>
      <c r="M361" s="5"/>
      <c r="N361" s="1"/>
      <c r="O361" s="6"/>
      <c r="P361" s="7">
        <f t="shared" si="68"/>
        <v>-1397</v>
      </c>
      <c r="Q361" s="3"/>
    </row>
    <row r="362" spans="1:17">
      <c r="A362" s="1">
        <v>44858</v>
      </c>
      <c r="B362" s="25" t="s">
        <v>91</v>
      </c>
      <c r="C362" s="3" t="s">
        <v>28</v>
      </c>
      <c r="D362" s="4" t="s">
        <v>695</v>
      </c>
      <c r="E362" s="1"/>
      <c r="F362" s="5">
        <v>89.54</v>
      </c>
      <c r="G362" s="5"/>
      <c r="H362" s="5">
        <f t="shared" si="66"/>
        <v>8.9540000000000006</v>
      </c>
      <c r="I362" s="5"/>
      <c r="J362" s="1"/>
      <c r="K362" s="5"/>
      <c r="L362" s="5">
        <f t="shared" si="67"/>
        <v>0</v>
      </c>
      <c r="M362" s="5"/>
      <c r="N362" s="1"/>
      <c r="O362" s="6"/>
      <c r="P362" s="7">
        <f t="shared" si="68"/>
        <v>-98.494</v>
      </c>
      <c r="Q362" s="3"/>
    </row>
    <row r="363" spans="1:17">
      <c r="A363" s="1">
        <v>44858</v>
      </c>
      <c r="B363" s="25" t="s">
        <v>697</v>
      </c>
      <c r="C363" s="3" t="s">
        <v>28</v>
      </c>
      <c r="D363" s="4" t="s">
        <v>696</v>
      </c>
      <c r="E363" s="1"/>
      <c r="F363" s="5">
        <v>105</v>
      </c>
      <c r="G363" s="5"/>
      <c r="H363" s="5">
        <f t="shared" ref="H363:H383" si="75">(F363/100)*10</f>
        <v>10.5</v>
      </c>
      <c r="I363" s="5"/>
      <c r="J363" s="1"/>
      <c r="K363" s="5"/>
      <c r="L363" s="5">
        <f t="shared" ref="L363:L383" si="76">K363*11</f>
        <v>0</v>
      </c>
      <c r="M363" s="5"/>
      <c r="N363" s="1"/>
      <c r="O363" s="6"/>
      <c r="P363" s="7">
        <f t="shared" ref="P363:P383" si="77">M363-(F363+G363+H363+L363)</f>
        <v>-115.5</v>
      </c>
      <c r="Q363" s="3"/>
    </row>
    <row r="364" spans="1:17" ht="15" customHeight="1">
      <c r="A364" s="1">
        <v>44858</v>
      </c>
      <c r="B364" s="25" t="s">
        <v>699</v>
      </c>
      <c r="C364" s="3" t="s">
        <v>28</v>
      </c>
      <c r="D364" s="4" t="s">
        <v>698</v>
      </c>
      <c r="E364" s="1"/>
      <c r="F364" s="5">
        <v>182</v>
      </c>
      <c r="G364" s="5"/>
      <c r="H364" s="5">
        <f t="shared" si="75"/>
        <v>18.2</v>
      </c>
      <c r="I364" s="5"/>
      <c r="J364" s="1"/>
      <c r="K364" s="5"/>
      <c r="L364" s="5">
        <f t="shared" si="76"/>
        <v>0</v>
      </c>
      <c r="M364" s="5"/>
      <c r="N364" s="1"/>
      <c r="O364" s="6"/>
      <c r="P364" s="7">
        <f t="shared" si="77"/>
        <v>-200.2</v>
      </c>
      <c r="Q364" s="3"/>
    </row>
    <row r="365" spans="1:17" ht="15" customHeight="1">
      <c r="A365" s="1">
        <v>44858</v>
      </c>
      <c r="B365" s="25" t="s">
        <v>312</v>
      </c>
      <c r="C365" s="3" t="s">
        <v>28</v>
      </c>
      <c r="D365" s="4" t="s">
        <v>700</v>
      </c>
      <c r="E365" s="53"/>
      <c r="F365" s="5">
        <v>1195</v>
      </c>
      <c r="G365" s="5"/>
      <c r="H365" s="5">
        <f t="shared" si="75"/>
        <v>119.5</v>
      </c>
      <c r="I365" s="5"/>
      <c r="J365" s="1">
        <v>44872</v>
      </c>
      <c r="K365" s="5">
        <v>0</v>
      </c>
      <c r="L365" s="5">
        <f t="shared" si="76"/>
        <v>0</v>
      </c>
      <c r="M365" s="5"/>
      <c r="N365" s="1"/>
      <c r="O365" s="6"/>
      <c r="P365" s="7">
        <f t="shared" si="77"/>
        <v>-1314.5</v>
      </c>
      <c r="Q365" s="3"/>
    </row>
    <row r="366" spans="1:17" ht="15" customHeight="1">
      <c r="A366" s="1">
        <v>44858</v>
      </c>
      <c r="B366" s="25" t="s">
        <v>388</v>
      </c>
      <c r="C366" s="3" t="s">
        <v>28</v>
      </c>
      <c r="D366" s="4" t="s">
        <v>701</v>
      </c>
      <c r="E366" s="53"/>
      <c r="F366" s="5">
        <v>1175</v>
      </c>
      <c r="G366" s="5"/>
      <c r="H366" s="5">
        <f t="shared" si="75"/>
        <v>117.5</v>
      </c>
      <c r="I366" s="5"/>
      <c r="J366" s="1">
        <v>44872</v>
      </c>
      <c r="K366" s="5">
        <v>0</v>
      </c>
      <c r="L366" s="5">
        <f t="shared" si="76"/>
        <v>0</v>
      </c>
      <c r="M366" s="5"/>
      <c r="N366" s="1"/>
      <c r="O366" s="6"/>
      <c r="P366" s="7">
        <f t="shared" si="77"/>
        <v>-1292.5</v>
      </c>
      <c r="Q366" s="3"/>
    </row>
    <row r="367" spans="1:17" ht="15" customHeight="1">
      <c r="A367" s="1">
        <v>44858</v>
      </c>
      <c r="B367" s="2" t="s">
        <v>215</v>
      </c>
      <c r="C367" s="3" t="s">
        <v>28</v>
      </c>
      <c r="D367" s="4" t="s">
        <v>709</v>
      </c>
      <c r="E367" s="1"/>
      <c r="F367" s="5">
        <v>374</v>
      </c>
      <c r="G367" s="5"/>
      <c r="H367" s="5">
        <f t="shared" si="75"/>
        <v>37.400000000000006</v>
      </c>
      <c r="I367" s="5"/>
      <c r="J367" s="1">
        <v>44867</v>
      </c>
      <c r="K367" s="5">
        <v>0</v>
      </c>
      <c r="L367" s="5">
        <f t="shared" si="76"/>
        <v>0</v>
      </c>
      <c r="M367" s="5"/>
      <c r="N367" s="1"/>
      <c r="O367" s="6"/>
      <c r="P367" s="7">
        <f t="shared" si="77"/>
        <v>-411.4</v>
      </c>
      <c r="Q367" s="3" t="s">
        <v>344</v>
      </c>
    </row>
    <row r="368" spans="1:17">
      <c r="A368" s="1">
        <v>44858</v>
      </c>
      <c r="B368" s="25" t="s">
        <v>703</v>
      </c>
      <c r="C368" s="3" t="s">
        <v>28</v>
      </c>
      <c r="D368" s="42" t="s">
        <v>702</v>
      </c>
      <c r="E368" s="1"/>
      <c r="F368" s="5">
        <v>688</v>
      </c>
      <c r="G368" s="5"/>
      <c r="H368" s="5">
        <f t="shared" si="75"/>
        <v>68.8</v>
      </c>
      <c r="I368" s="5"/>
      <c r="J368" s="1"/>
      <c r="K368" s="5"/>
      <c r="L368" s="5">
        <f t="shared" si="76"/>
        <v>0</v>
      </c>
      <c r="M368" s="5"/>
      <c r="N368" s="1"/>
      <c r="O368" s="6"/>
      <c r="P368" s="7">
        <f t="shared" si="77"/>
        <v>-756.8</v>
      </c>
      <c r="Q368" s="3"/>
    </row>
    <row r="369" spans="1:17">
      <c r="A369" s="1">
        <v>44858</v>
      </c>
      <c r="B369" s="25" t="s">
        <v>705</v>
      </c>
      <c r="C369" s="3" t="s">
        <v>28</v>
      </c>
      <c r="D369" s="4" t="s">
        <v>704</v>
      </c>
      <c r="E369" s="1"/>
      <c r="F369" s="5">
        <v>42</v>
      </c>
      <c r="G369" s="5"/>
      <c r="H369" s="5">
        <f t="shared" si="75"/>
        <v>4.2</v>
      </c>
      <c r="I369" s="5"/>
      <c r="J369" s="1"/>
      <c r="K369" s="5"/>
      <c r="L369" s="5">
        <f t="shared" si="76"/>
        <v>0</v>
      </c>
      <c r="M369" s="5"/>
      <c r="N369" s="1"/>
      <c r="O369" s="6"/>
      <c r="P369" s="7">
        <f t="shared" si="77"/>
        <v>-46.2</v>
      </c>
      <c r="Q369" s="3"/>
    </row>
    <row r="370" spans="1:17" ht="15" customHeight="1">
      <c r="A370" s="1">
        <v>44858</v>
      </c>
      <c r="B370" s="25" t="s">
        <v>41</v>
      </c>
      <c r="C370" s="3" t="s">
        <v>232</v>
      </c>
      <c r="D370" s="4" t="s">
        <v>706</v>
      </c>
      <c r="E370" s="1"/>
      <c r="F370" s="5">
        <v>78.489999999999995</v>
      </c>
      <c r="G370" s="5"/>
      <c r="H370" s="5">
        <f t="shared" si="75"/>
        <v>7.8489999999999993</v>
      </c>
      <c r="I370" s="5"/>
      <c r="J370" s="1">
        <v>44872</v>
      </c>
      <c r="K370" s="5">
        <v>0.3</v>
      </c>
      <c r="L370" s="5">
        <f t="shared" si="76"/>
        <v>3.3</v>
      </c>
      <c r="M370" s="5"/>
      <c r="N370" s="1"/>
      <c r="O370" s="6"/>
      <c r="P370" s="7">
        <f t="shared" si="77"/>
        <v>-89.638999999999996</v>
      </c>
      <c r="Q370" s="3" t="s">
        <v>344</v>
      </c>
    </row>
    <row r="371" spans="1:17">
      <c r="A371" s="1">
        <v>44858</v>
      </c>
      <c r="B371" s="25" t="s">
        <v>708</v>
      </c>
      <c r="C371" s="3" t="s">
        <v>28</v>
      </c>
      <c r="D371" s="4" t="s">
        <v>707</v>
      </c>
      <c r="E371" s="1"/>
      <c r="F371" s="5">
        <v>78.97</v>
      </c>
      <c r="G371" s="5"/>
      <c r="H371" s="5">
        <f t="shared" si="75"/>
        <v>7.8969999999999994</v>
      </c>
      <c r="I371" s="5"/>
      <c r="J371" s="1"/>
      <c r="K371" s="5"/>
      <c r="L371" s="5">
        <f t="shared" si="76"/>
        <v>0</v>
      </c>
      <c r="M371" s="5"/>
      <c r="N371" s="1"/>
      <c r="O371" s="6"/>
      <c r="P371" s="7">
        <f t="shared" si="77"/>
        <v>-86.867000000000004</v>
      </c>
      <c r="Q371" s="3"/>
    </row>
    <row r="372" spans="1:17" ht="15" customHeight="1">
      <c r="A372" s="1">
        <v>44858</v>
      </c>
      <c r="B372" s="2" t="s">
        <v>215</v>
      </c>
      <c r="C372" s="3" t="s">
        <v>28</v>
      </c>
      <c r="D372" s="4" t="s">
        <v>710</v>
      </c>
      <c r="E372" s="1"/>
      <c r="F372" s="5">
        <v>360</v>
      </c>
      <c r="G372" s="5"/>
      <c r="H372" s="5">
        <f t="shared" si="75"/>
        <v>36</v>
      </c>
      <c r="I372" s="5">
        <v>36</v>
      </c>
      <c r="J372" s="1"/>
      <c r="K372" s="5"/>
      <c r="L372" s="5">
        <f t="shared" si="76"/>
        <v>0</v>
      </c>
      <c r="M372" s="5"/>
      <c r="N372" s="1"/>
      <c r="O372" s="6"/>
      <c r="P372" s="7">
        <f t="shared" si="77"/>
        <v>-396</v>
      </c>
      <c r="Q372" s="3"/>
    </row>
    <row r="373" spans="1:17" ht="15" customHeight="1">
      <c r="A373" s="1">
        <v>44859</v>
      </c>
      <c r="B373" s="25" t="s">
        <v>714</v>
      </c>
      <c r="C373" s="3" t="s">
        <v>18</v>
      </c>
      <c r="D373" s="4" t="s">
        <v>715</v>
      </c>
      <c r="E373" s="1"/>
      <c r="F373" s="5">
        <v>277.86</v>
      </c>
      <c r="G373" s="5"/>
      <c r="H373" s="5">
        <f t="shared" si="75"/>
        <v>27.786000000000001</v>
      </c>
      <c r="I373" s="5">
        <v>20.72</v>
      </c>
      <c r="J373" s="1">
        <v>44872</v>
      </c>
      <c r="K373" s="5">
        <v>0</v>
      </c>
      <c r="L373" s="5">
        <f t="shared" si="76"/>
        <v>0</v>
      </c>
      <c r="M373" s="5"/>
      <c r="N373" s="1"/>
      <c r="O373" s="6"/>
      <c r="P373" s="7">
        <f t="shared" si="77"/>
        <v>-305.64600000000002</v>
      </c>
      <c r="Q373" s="3"/>
    </row>
    <row r="374" spans="1:17">
      <c r="A374" s="1">
        <v>44858</v>
      </c>
      <c r="B374" s="25" t="s">
        <v>716</v>
      </c>
      <c r="C374" s="3" t="s">
        <v>44</v>
      </c>
      <c r="D374" s="4" t="s">
        <v>717</v>
      </c>
      <c r="E374" s="1"/>
      <c r="F374" s="5">
        <v>103</v>
      </c>
      <c r="G374" s="5"/>
      <c r="H374" s="5">
        <f t="shared" si="75"/>
        <v>10.3</v>
      </c>
      <c r="I374" s="5"/>
      <c r="J374" s="1"/>
      <c r="K374" s="5"/>
      <c r="L374" s="5">
        <f t="shared" si="76"/>
        <v>0</v>
      </c>
      <c r="M374" s="5"/>
      <c r="N374" s="1"/>
      <c r="O374" s="6"/>
      <c r="P374" s="7">
        <f t="shared" si="77"/>
        <v>-113.3</v>
      </c>
      <c r="Q374" s="3"/>
    </row>
    <row r="375" spans="1:17">
      <c r="A375" s="1">
        <v>44859</v>
      </c>
      <c r="B375" s="2" t="s">
        <v>718</v>
      </c>
      <c r="C375" s="3" t="s">
        <v>18</v>
      </c>
      <c r="D375" s="4" t="s">
        <v>719</v>
      </c>
      <c r="E375" s="1"/>
      <c r="F375" s="5">
        <v>124.75</v>
      </c>
      <c r="G375" s="5"/>
      <c r="H375" s="5">
        <f t="shared" si="75"/>
        <v>12.475000000000001</v>
      </c>
      <c r="I375" s="5">
        <v>-6.24</v>
      </c>
      <c r="J375" s="1">
        <v>44872</v>
      </c>
      <c r="K375" s="5">
        <v>0</v>
      </c>
      <c r="L375" s="5">
        <f t="shared" si="76"/>
        <v>0</v>
      </c>
      <c r="M375" s="5"/>
      <c r="N375" s="1"/>
      <c r="O375" s="6"/>
      <c r="P375" s="7">
        <f t="shared" si="77"/>
        <v>-137.22499999999999</v>
      </c>
      <c r="Q375" s="3"/>
    </row>
    <row r="376" spans="1:17">
      <c r="A376" s="1">
        <v>44859</v>
      </c>
      <c r="B376" s="25" t="s">
        <v>720</v>
      </c>
      <c r="C376" s="3" t="s">
        <v>18</v>
      </c>
      <c r="D376" s="4" t="s">
        <v>721</v>
      </c>
      <c r="E376" s="1"/>
      <c r="F376" s="5">
        <v>31</v>
      </c>
      <c r="G376" s="5"/>
      <c r="H376" s="5">
        <f t="shared" si="75"/>
        <v>3.1</v>
      </c>
      <c r="I376" s="5"/>
      <c r="J376" s="1">
        <v>44872</v>
      </c>
      <c r="K376" s="5">
        <v>0</v>
      </c>
      <c r="L376" s="5">
        <f t="shared" si="76"/>
        <v>0</v>
      </c>
      <c r="M376" s="5"/>
      <c r="N376" s="1"/>
      <c r="O376" s="6"/>
      <c r="P376" s="7">
        <f t="shared" si="77"/>
        <v>-34.1</v>
      </c>
      <c r="Q376" s="3"/>
    </row>
    <row r="377" spans="1:17" ht="15" customHeight="1">
      <c r="A377" s="1">
        <v>44859</v>
      </c>
      <c r="B377" s="25" t="s">
        <v>70</v>
      </c>
      <c r="C377" s="3" t="s">
        <v>64</v>
      </c>
      <c r="D377" s="4" t="s">
        <v>723</v>
      </c>
      <c r="E377" s="1"/>
      <c r="F377" s="5">
        <v>108.94</v>
      </c>
      <c r="G377" s="5"/>
      <c r="H377" s="5">
        <f t="shared" si="75"/>
        <v>10.893999999999998</v>
      </c>
      <c r="I377" s="5"/>
      <c r="J377" s="1">
        <v>44872</v>
      </c>
      <c r="K377" s="5">
        <v>1</v>
      </c>
      <c r="L377" s="5">
        <f t="shared" si="76"/>
        <v>11</v>
      </c>
      <c r="M377" s="5"/>
      <c r="N377" s="1"/>
      <c r="O377" s="6"/>
      <c r="P377" s="7">
        <f t="shared" si="77"/>
        <v>-130.834</v>
      </c>
      <c r="Q377" s="3"/>
    </row>
    <row r="378" spans="1:17" ht="30">
      <c r="A378" s="1">
        <v>44859</v>
      </c>
      <c r="B378" s="25" t="s">
        <v>724</v>
      </c>
      <c r="C378" s="3" t="s">
        <v>18</v>
      </c>
      <c r="D378" s="4" t="s">
        <v>798</v>
      </c>
      <c r="E378" s="1"/>
      <c r="F378" s="5">
        <v>136.94999999999999</v>
      </c>
      <c r="G378" s="5"/>
      <c r="H378" s="5">
        <f t="shared" si="75"/>
        <v>13.695</v>
      </c>
      <c r="I378" s="5"/>
      <c r="J378" s="1"/>
      <c r="K378" s="5"/>
      <c r="L378" s="5">
        <f t="shared" si="76"/>
        <v>0</v>
      </c>
      <c r="M378" s="5"/>
      <c r="N378" s="1"/>
      <c r="O378" s="6"/>
      <c r="P378" s="7">
        <f t="shared" si="77"/>
        <v>-150.64499999999998</v>
      </c>
      <c r="Q378" s="3"/>
    </row>
    <row r="379" spans="1:17">
      <c r="A379" s="1">
        <v>44862</v>
      </c>
      <c r="B379" s="25" t="s">
        <v>729</v>
      </c>
      <c r="C379" s="3" t="s">
        <v>44</v>
      </c>
      <c r="D379" s="4" t="s">
        <v>728</v>
      </c>
      <c r="E379" s="1"/>
      <c r="F379" s="5">
        <v>96.98</v>
      </c>
      <c r="G379" s="5"/>
      <c r="H379" s="5">
        <f t="shared" si="75"/>
        <v>9.6980000000000004</v>
      </c>
      <c r="I379" s="5"/>
      <c r="J379" s="1"/>
      <c r="K379" s="5"/>
      <c r="L379" s="5">
        <f t="shared" si="76"/>
        <v>0</v>
      </c>
      <c r="M379" s="5"/>
      <c r="N379" s="1"/>
      <c r="O379" s="6"/>
      <c r="P379" s="7">
        <f t="shared" si="77"/>
        <v>-106.678</v>
      </c>
      <c r="Q379" s="3"/>
    </row>
    <row r="380" spans="1:17">
      <c r="A380" s="1">
        <v>44863</v>
      </c>
      <c r="B380" s="25" t="s">
        <v>356</v>
      </c>
      <c r="C380" s="3" t="s">
        <v>28</v>
      </c>
      <c r="D380" s="4" t="s">
        <v>730</v>
      </c>
      <c r="E380" s="1"/>
      <c r="F380" s="5">
        <v>162.55000000000001</v>
      </c>
      <c r="G380" s="5"/>
      <c r="H380" s="5">
        <f t="shared" si="75"/>
        <v>16.255000000000003</v>
      </c>
      <c r="I380" s="5"/>
      <c r="J380" s="1"/>
      <c r="K380" s="5"/>
      <c r="L380" s="5">
        <f t="shared" si="76"/>
        <v>0</v>
      </c>
      <c r="M380" s="5"/>
      <c r="N380" s="1"/>
      <c r="O380" s="6"/>
      <c r="P380" s="7">
        <f t="shared" si="77"/>
        <v>-178.80500000000001</v>
      </c>
      <c r="Q380" s="3"/>
    </row>
    <row r="381" spans="1:17">
      <c r="A381" s="1">
        <v>44863</v>
      </c>
      <c r="B381" s="25" t="s">
        <v>96</v>
      </c>
      <c r="C381" s="3" t="s">
        <v>28</v>
      </c>
      <c r="D381" s="4" t="s">
        <v>731</v>
      </c>
      <c r="E381" s="1"/>
      <c r="F381" s="5">
        <v>205</v>
      </c>
      <c r="G381" s="5"/>
      <c r="H381" s="5">
        <f t="shared" si="75"/>
        <v>20.5</v>
      </c>
      <c r="I381" s="5"/>
      <c r="J381" s="1"/>
      <c r="K381" s="5"/>
      <c r="L381" s="5">
        <f t="shared" si="76"/>
        <v>0</v>
      </c>
      <c r="M381" s="5"/>
      <c r="N381" s="1"/>
      <c r="O381" s="6"/>
      <c r="P381" s="7">
        <f t="shared" si="77"/>
        <v>-225.5</v>
      </c>
      <c r="Q381" s="3"/>
    </row>
    <row r="382" spans="1:17">
      <c r="A382" s="1">
        <v>44863</v>
      </c>
      <c r="B382" s="25" t="s">
        <v>732</v>
      </c>
      <c r="C382" s="3" t="s">
        <v>28</v>
      </c>
      <c r="D382" s="4" t="s">
        <v>733</v>
      </c>
      <c r="E382" s="1"/>
      <c r="F382" s="5">
        <v>167</v>
      </c>
      <c r="G382" s="5"/>
      <c r="H382" s="5">
        <f t="shared" si="75"/>
        <v>16.7</v>
      </c>
      <c r="I382" s="5"/>
      <c r="J382" s="1"/>
      <c r="K382" s="5"/>
      <c r="L382" s="5">
        <f t="shared" si="76"/>
        <v>0</v>
      </c>
      <c r="M382" s="5"/>
      <c r="N382" s="1"/>
      <c r="O382" s="6"/>
      <c r="P382" s="7">
        <f t="shared" si="77"/>
        <v>-183.7</v>
      </c>
      <c r="Q382" s="3"/>
    </row>
    <row r="383" spans="1:17">
      <c r="A383" s="1">
        <v>44863</v>
      </c>
      <c r="B383" s="25" t="s">
        <v>735</v>
      </c>
      <c r="C383" s="3" t="s">
        <v>28</v>
      </c>
      <c r="D383" s="4" t="s">
        <v>734</v>
      </c>
      <c r="E383" s="1"/>
      <c r="F383" s="5">
        <v>39.950000000000003</v>
      </c>
      <c r="G383" s="5"/>
      <c r="H383" s="5">
        <f t="shared" si="75"/>
        <v>3.9950000000000001</v>
      </c>
      <c r="I383" s="5"/>
      <c r="J383" s="1"/>
      <c r="K383" s="5"/>
      <c r="L383" s="5">
        <f t="shared" si="76"/>
        <v>0</v>
      </c>
      <c r="M383" s="5"/>
      <c r="N383" s="1"/>
      <c r="O383" s="6"/>
      <c r="P383" s="7">
        <f t="shared" si="77"/>
        <v>-43.945</v>
      </c>
      <c r="Q383" s="3"/>
    </row>
    <row r="384" spans="1:17" ht="15" customHeight="1">
      <c r="A384" s="1">
        <v>44863</v>
      </c>
      <c r="B384" s="25" t="s">
        <v>736</v>
      </c>
      <c r="C384" s="3" t="s">
        <v>28</v>
      </c>
      <c r="D384" s="4" t="s">
        <v>739</v>
      </c>
      <c r="E384" s="1"/>
      <c r="F384" s="5">
        <v>63</v>
      </c>
      <c r="G384" s="5"/>
      <c r="H384" s="5">
        <f t="shared" ref="H384:H395" si="78">(F384/100)*10</f>
        <v>6.3</v>
      </c>
      <c r="I384" s="5"/>
      <c r="J384" s="1"/>
      <c r="K384" s="5"/>
      <c r="L384" s="5">
        <f t="shared" ref="L384:L395" si="79">K384*11</f>
        <v>0</v>
      </c>
      <c r="M384" s="5"/>
      <c r="N384" s="1"/>
      <c r="O384" s="6"/>
      <c r="P384" s="7">
        <f t="shared" ref="P384:P395" si="80">M384-(F384+G384+H384+L384)</f>
        <v>-69.3</v>
      </c>
      <c r="Q384" s="3"/>
    </row>
    <row r="385" spans="1:17" ht="15" customHeight="1">
      <c r="A385" s="1">
        <v>44863</v>
      </c>
      <c r="B385" s="39" t="s">
        <v>738</v>
      </c>
      <c r="C385" s="3" t="s">
        <v>28</v>
      </c>
      <c r="D385" s="27" t="s">
        <v>737</v>
      </c>
      <c r="E385" s="1"/>
      <c r="F385" s="5">
        <v>0</v>
      </c>
      <c r="G385" s="5"/>
      <c r="H385" s="5">
        <f t="shared" si="78"/>
        <v>0</v>
      </c>
      <c r="I385" s="5"/>
      <c r="J385" s="1"/>
      <c r="K385" s="5"/>
      <c r="L385" s="5">
        <f t="shared" si="79"/>
        <v>0</v>
      </c>
      <c r="M385" s="5"/>
      <c r="N385" s="1"/>
      <c r="O385" s="6"/>
      <c r="P385" s="7">
        <f t="shared" si="80"/>
        <v>0</v>
      </c>
      <c r="Q385" s="3"/>
    </row>
    <row r="386" spans="1:17" ht="15" customHeight="1">
      <c r="A386" s="1">
        <v>44864</v>
      </c>
      <c r="B386" s="25" t="s">
        <v>33</v>
      </c>
      <c r="C386" s="3" t="s">
        <v>32</v>
      </c>
      <c r="D386" s="4" t="s">
        <v>741</v>
      </c>
      <c r="E386" s="1"/>
      <c r="F386" s="5">
        <v>58.94</v>
      </c>
      <c r="G386" s="5"/>
      <c r="H386" s="5">
        <f t="shared" si="78"/>
        <v>5.8939999999999992</v>
      </c>
      <c r="I386" s="5"/>
      <c r="J386" s="1"/>
      <c r="K386" s="5"/>
      <c r="L386" s="5">
        <f t="shared" si="79"/>
        <v>0</v>
      </c>
      <c r="M386" s="5"/>
      <c r="N386" s="1"/>
      <c r="O386" s="6"/>
      <c r="P386" s="7">
        <f t="shared" si="80"/>
        <v>-64.834000000000003</v>
      </c>
      <c r="Q386" s="3"/>
    </row>
    <row r="387" spans="1:17">
      <c r="A387" s="1">
        <v>44865</v>
      </c>
      <c r="B387" s="25" t="s">
        <v>152</v>
      </c>
      <c r="C387" s="3" t="s">
        <v>153</v>
      </c>
      <c r="D387" s="4" t="s">
        <v>742</v>
      </c>
      <c r="E387" s="1"/>
      <c r="F387" s="5">
        <v>124.96</v>
      </c>
      <c r="G387" s="5"/>
      <c r="H387" s="5">
        <f t="shared" si="78"/>
        <v>12.496</v>
      </c>
      <c r="I387" s="5"/>
      <c r="J387" s="1"/>
      <c r="K387" s="5"/>
      <c r="L387" s="5">
        <f t="shared" si="79"/>
        <v>0</v>
      </c>
      <c r="M387" s="5"/>
      <c r="N387" s="1"/>
      <c r="O387" s="6"/>
      <c r="P387" s="7">
        <f t="shared" si="80"/>
        <v>-137.45599999999999</v>
      </c>
      <c r="Q387" s="3"/>
    </row>
    <row r="388" spans="1:17">
      <c r="A388" s="1">
        <v>44865</v>
      </c>
      <c r="B388" s="25" t="s">
        <v>96</v>
      </c>
      <c r="C388" s="3" t="s">
        <v>153</v>
      </c>
      <c r="D388" s="4" t="s">
        <v>743</v>
      </c>
      <c r="E388" s="1" t="s">
        <v>787</v>
      </c>
      <c r="F388" s="5">
        <v>135.97</v>
      </c>
      <c r="G388" s="5"/>
      <c r="H388" s="5">
        <f t="shared" si="78"/>
        <v>13.597</v>
      </c>
      <c r="I388" s="5"/>
      <c r="J388" s="1"/>
      <c r="K388" s="5"/>
      <c r="L388" s="5">
        <f t="shared" si="79"/>
        <v>0</v>
      </c>
      <c r="M388" s="5"/>
      <c r="N388" s="1"/>
      <c r="O388" s="6"/>
      <c r="P388" s="7">
        <f t="shared" si="80"/>
        <v>-149.56700000000001</v>
      </c>
      <c r="Q388" s="3"/>
    </row>
    <row r="389" spans="1:17" ht="15" customHeight="1">
      <c r="A389" s="1">
        <v>44863</v>
      </c>
      <c r="B389" s="25" t="s">
        <v>749</v>
      </c>
      <c r="C389" s="3" t="s">
        <v>747</v>
      </c>
      <c r="D389" s="4" t="s">
        <v>748</v>
      </c>
      <c r="E389" s="1"/>
      <c r="F389" s="5">
        <v>222.73</v>
      </c>
      <c r="G389" s="5"/>
      <c r="H389" s="5">
        <f t="shared" si="78"/>
        <v>22.273</v>
      </c>
      <c r="I389" s="5"/>
      <c r="J389" s="1"/>
      <c r="K389" s="5"/>
      <c r="L389" s="5">
        <f t="shared" si="79"/>
        <v>0</v>
      </c>
      <c r="M389" s="5">
        <v>250</v>
      </c>
      <c r="N389" s="1">
        <v>44864</v>
      </c>
      <c r="O389" s="6"/>
      <c r="P389" s="7">
        <f t="shared" si="80"/>
        <v>4.9970000000000141</v>
      </c>
      <c r="Q389" s="3"/>
    </row>
    <row r="390" spans="1:17" ht="15" customHeight="1">
      <c r="A390" s="1">
        <v>44865</v>
      </c>
      <c r="B390" s="25" t="s">
        <v>70</v>
      </c>
      <c r="C390" s="3" t="s">
        <v>750</v>
      </c>
      <c r="D390" s="4" t="s">
        <v>751</v>
      </c>
      <c r="E390" s="1"/>
      <c r="F390" s="5">
        <v>25.85</v>
      </c>
      <c r="G390" s="5"/>
      <c r="H390" s="5">
        <f t="shared" si="78"/>
        <v>2.585</v>
      </c>
      <c r="I390" s="5"/>
      <c r="J390" s="1"/>
      <c r="K390" s="5"/>
      <c r="L390" s="5">
        <f t="shared" si="79"/>
        <v>0</v>
      </c>
      <c r="M390" s="5">
        <v>29</v>
      </c>
      <c r="N390" s="1">
        <v>44868</v>
      </c>
      <c r="O390" s="6"/>
      <c r="P390" s="7">
        <f t="shared" si="80"/>
        <v>0.56499999999999773</v>
      </c>
      <c r="Q390" s="3"/>
    </row>
    <row r="391" spans="1:17" ht="15" customHeight="1">
      <c r="A391" s="1">
        <v>44866</v>
      </c>
      <c r="B391" s="2" t="s">
        <v>70</v>
      </c>
      <c r="C391" s="3" t="s">
        <v>28</v>
      </c>
      <c r="D391" s="4" t="s">
        <v>752</v>
      </c>
      <c r="E391" s="1" t="s">
        <v>787</v>
      </c>
      <c r="F391" s="5">
        <v>100.92</v>
      </c>
      <c r="G391" s="5"/>
      <c r="H391" s="5">
        <f t="shared" si="78"/>
        <v>10.092000000000001</v>
      </c>
      <c r="I391" s="5"/>
      <c r="J391" s="1"/>
      <c r="K391" s="5"/>
      <c r="L391" s="5">
        <f t="shared" si="79"/>
        <v>0</v>
      </c>
      <c r="M391" s="5"/>
      <c r="N391" s="1"/>
      <c r="O391" s="6"/>
      <c r="P391" s="7">
        <f t="shared" si="80"/>
        <v>-111.012</v>
      </c>
      <c r="Q391" s="3"/>
    </row>
    <row r="392" spans="1:17">
      <c r="A392" s="1">
        <v>44866</v>
      </c>
      <c r="B392" s="25" t="s">
        <v>754</v>
      </c>
      <c r="C392" s="3" t="s">
        <v>28</v>
      </c>
      <c r="D392" s="4" t="s">
        <v>753</v>
      </c>
      <c r="E392" s="1" t="s">
        <v>780</v>
      </c>
      <c r="F392" s="5">
        <v>39.42</v>
      </c>
      <c r="G392" s="5"/>
      <c r="H392" s="5">
        <f t="shared" si="78"/>
        <v>3.9420000000000002</v>
      </c>
      <c r="I392" s="5"/>
      <c r="J392" s="1"/>
      <c r="K392" s="5"/>
      <c r="L392" s="5">
        <f t="shared" si="79"/>
        <v>0</v>
      </c>
      <c r="M392" s="5"/>
      <c r="N392" s="1"/>
      <c r="O392" s="6"/>
      <c r="P392" s="7">
        <f t="shared" si="80"/>
        <v>-43.362000000000002</v>
      </c>
      <c r="Q392" s="3"/>
    </row>
    <row r="393" spans="1:17">
      <c r="A393" s="1">
        <v>44866</v>
      </c>
      <c r="B393" s="25" t="s">
        <v>279</v>
      </c>
      <c r="C393" s="3" t="s">
        <v>28</v>
      </c>
      <c r="D393" s="4" t="s">
        <v>755</v>
      </c>
      <c r="E393" s="1" t="s">
        <v>756</v>
      </c>
      <c r="F393" s="5">
        <v>156</v>
      </c>
      <c r="G393" s="5"/>
      <c r="H393" s="5">
        <f t="shared" si="78"/>
        <v>15.600000000000001</v>
      </c>
      <c r="I393" s="5"/>
      <c r="J393" s="1"/>
      <c r="K393" s="5"/>
      <c r="L393" s="5">
        <f t="shared" si="79"/>
        <v>0</v>
      </c>
      <c r="M393" s="5"/>
      <c r="N393" s="1"/>
      <c r="O393" s="6"/>
      <c r="P393" s="7">
        <f t="shared" si="80"/>
        <v>-171.6</v>
      </c>
      <c r="Q393" s="3"/>
    </row>
    <row r="394" spans="1:17">
      <c r="A394" s="1">
        <v>44866</v>
      </c>
      <c r="B394" s="2" t="s">
        <v>758</v>
      </c>
      <c r="C394" s="3" t="s">
        <v>28</v>
      </c>
      <c r="D394" s="4" t="s">
        <v>757</v>
      </c>
      <c r="E394" s="1"/>
      <c r="F394" s="5">
        <v>91</v>
      </c>
      <c r="G394" s="5"/>
      <c r="H394" s="5">
        <f t="shared" si="78"/>
        <v>9.1</v>
      </c>
      <c r="I394" s="5"/>
      <c r="J394" s="1"/>
      <c r="K394" s="5"/>
      <c r="L394" s="5">
        <f t="shared" si="79"/>
        <v>0</v>
      </c>
      <c r="M394" s="5"/>
      <c r="N394" s="1"/>
      <c r="O394" s="6"/>
      <c r="P394" s="7">
        <f t="shared" si="80"/>
        <v>-100.1</v>
      </c>
      <c r="Q394" s="3"/>
    </row>
    <row r="395" spans="1:17">
      <c r="A395" s="1">
        <v>44866</v>
      </c>
      <c r="B395" s="25" t="s">
        <v>760</v>
      </c>
      <c r="C395" s="3" t="s">
        <v>28</v>
      </c>
      <c r="D395" s="4" t="s">
        <v>759</v>
      </c>
      <c r="E395" s="1" t="s">
        <v>756</v>
      </c>
      <c r="F395" s="5">
        <v>155</v>
      </c>
      <c r="G395" s="5"/>
      <c r="H395" s="5">
        <f t="shared" si="78"/>
        <v>15.5</v>
      </c>
      <c r="I395" s="5"/>
      <c r="J395" s="1"/>
      <c r="K395" s="5"/>
      <c r="L395" s="5">
        <f t="shared" si="79"/>
        <v>0</v>
      </c>
      <c r="M395" s="5"/>
      <c r="N395" s="1"/>
      <c r="O395" s="6"/>
      <c r="P395" s="7">
        <f t="shared" si="80"/>
        <v>-170.5</v>
      </c>
      <c r="Q395" s="3"/>
    </row>
    <row r="396" spans="1:17">
      <c r="A396" s="1">
        <v>44866</v>
      </c>
      <c r="B396" s="25" t="s">
        <v>378</v>
      </c>
      <c r="C396" s="3" t="s">
        <v>28</v>
      </c>
      <c r="D396" s="4" t="s">
        <v>761</v>
      </c>
      <c r="E396" s="1" t="s">
        <v>756</v>
      </c>
      <c r="F396" s="5">
        <v>156</v>
      </c>
      <c r="G396" s="5"/>
      <c r="H396" s="5">
        <f t="shared" ref="H396:H418" si="81">(F396/100)*10</f>
        <v>15.600000000000001</v>
      </c>
      <c r="I396" s="5"/>
      <c r="J396" s="1"/>
      <c r="K396" s="5"/>
      <c r="L396" s="5">
        <f t="shared" ref="L396:L418" si="82">K396*11</f>
        <v>0</v>
      </c>
      <c r="M396" s="5"/>
      <c r="N396" s="1"/>
      <c r="O396" s="6"/>
      <c r="P396" s="7">
        <f t="shared" ref="P396:P418" si="83">M396-(F396+G396+H396+L396)</f>
        <v>-171.6</v>
      </c>
      <c r="Q396" s="3"/>
    </row>
    <row r="397" spans="1:17" ht="15" customHeight="1">
      <c r="A397" s="1">
        <v>44866</v>
      </c>
      <c r="B397" s="25" t="s">
        <v>762</v>
      </c>
      <c r="C397" s="3" t="s">
        <v>28</v>
      </c>
      <c r="D397" s="42" t="s">
        <v>763</v>
      </c>
      <c r="E397" s="1"/>
      <c r="F397" s="5">
        <v>495</v>
      </c>
      <c r="G397" s="5"/>
      <c r="H397" s="5">
        <f t="shared" si="81"/>
        <v>49.5</v>
      </c>
      <c r="I397" s="5"/>
      <c r="J397" s="1"/>
      <c r="K397" s="5"/>
      <c r="L397" s="5">
        <f t="shared" si="82"/>
        <v>0</v>
      </c>
      <c r="M397" s="5"/>
      <c r="N397" s="1"/>
      <c r="O397" s="6"/>
      <c r="P397" s="7">
        <f t="shared" si="83"/>
        <v>-544.5</v>
      </c>
      <c r="Q397" s="3"/>
    </row>
    <row r="398" spans="1:17" ht="15" customHeight="1">
      <c r="A398" s="1">
        <v>44867</v>
      </c>
      <c r="B398" s="54" t="s">
        <v>33</v>
      </c>
      <c r="C398" s="3" t="s">
        <v>652</v>
      </c>
      <c r="D398" s="4" t="s">
        <v>764</v>
      </c>
      <c r="E398" s="1"/>
      <c r="F398" s="5">
        <v>46.45</v>
      </c>
      <c r="G398" s="5"/>
      <c r="H398" s="5">
        <f t="shared" si="81"/>
        <v>4.6450000000000005</v>
      </c>
      <c r="I398" s="5"/>
      <c r="J398" s="1"/>
      <c r="K398" s="5"/>
      <c r="L398" s="5">
        <f t="shared" si="82"/>
        <v>0</v>
      </c>
      <c r="M398" s="5">
        <v>49.5</v>
      </c>
      <c r="N398" s="1">
        <v>44868</v>
      </c>
      <c r="O398" s="6"/>
      <c r="P398" s="7">
        <f t="shared" si="83"/>
        <v>-1.595000000000006</v>
      </c>
      <c r="Q398" s="3"/>
    </row>
    <row r="399" spans="1:17">
      <c r="A399" s="1">
        <v>44867</v>
      </c>
      <c r="B399" s="54" t="s">
        <v>766</v>
      </c>
      <c r="C399" s="3" t="s">
        <v>28</v>
      </c>
      <c r="D399" s="4" t="s">
        <v>767</v>
      </c>
      <c r="E399" s="1" t="s">
        <v>765</v>
      </c>
      <c r="F399" s="5">
        <v>126.65</v>
      </c>
      <c r="G399" s="5"/>
      <c r="H399" s="5">
        <f t="shared" si="81"/>
        <v>12.664999999999999</v>
      </c>
      <c r="I399" s="5"/>
      <c r="J399" s="1"/>
      <c r="K399" s="5"/>
      <c r="L399" s="5">
        <f t="shared" si="82"/>
        <v>0</v>
      </c>
      <c r="M399" s="5"/>
      <c r="N399" s="1"/>
      <c r="O399" s="6"/>
      <c r="P399" s="7">
        <f t="shared" si="83"/>
        <v>-139.315</v>
      </c>
      <c r="Q399" s="3"/>
    </row>
    <row r="400" spans="1:17">
      <c r="A400" s="1">
        <v>44867</v>
      </c>
      <c r="B400" s="54" t="s">
        <v>769</v>
      </c>
      <c r="C400" s="3" t="s">
        <v>28</v>
      </c>
      <c r="D400" s="4" t="s">
        <v>768</v>
      </c>
      <c r="E400" s="1"/>
      <c r="F400" s="5">
        <v>122.58</v>
      </c>
      <c r="G400" s="5"/>
      <c r="H400" s="5">
        <f t="shared" si="81"/>
        <v>12.257999999999999</v>
      </c>
      <c r="I400" s="5"/>
      <c r="J400" s="1"/>
      <c r="K400" s="5"/>
      <c r="L400" s="5">
        <f t="shared" si="82"/>
        <v>0</v>
      </c>
      <c r="M400" s="5"/>
      <c r="N400" s="1"/>
      <c r="O400" s="6"/>
      <c r="P400" s="7">
        <f t="shared" si="83"/>
        <v>-134.83799999999999</v>
      </c>
      <c r="Q400" s="3"/>
    </row>
    <row r="401" spans="1:17">
      <c r="A401" s="1">
        <v>44867</v>
      </c>
      <c r="B401" s="2" t="s">
        <v>771</v>
      </c>
      <c r="C401" s="3" t="s">
        <v>28</v>
      </c>
      <c r="D401" s="4" t="s">
        <v>770</v>
      </c>
      <c r="E401" s="1"/>
      <c r="F401" s="5">
        <v>141.81</v>
      </c>
      <c r="G401" s="5"/>
      <c r="H401" s="5">
        <f t="shared" si="81"/>
        <v>14.180999999999999</v>
      </c>
      <c r="I401" s="5">
        <v>-7.09</v>
      </c>
      <c r="J401" s="1"/>
      <c r="K401" s="5"/>
      <c r="L401" s="5">
        <f t="shared" si="82"/>
        <v>0</v>
      </c>
      <c r="M401" s="5"/>
      <c r="N401" s="1"/>
      <c r="O401" s="6"/>
      <c r="P401" s="7">
        <f t="shared" si="83"/>
        <v>-155.99100000000001</v>
      </c>
      <c r="Q401" s="3"/>
    </row>
    <row r="402" spans="1:17">
      <c r="A402" s="1">
        <v>44867</v>
      </c>
      <c r="B402" s="2" t="s">
        <v>536</v>
      </c>
      <c r="C402" s="3" t="s">
        <v>28</v>
      </c>
      <c r="D402" s="4" t="s">
        <v>772</v>
      </c>
      <c r="E402" s="1"/>
      <c r="F402" s="5">
        <v>40.520000000000003</v>
      </c>
      <c r="G402" s="5"/>
      <c r="H402" s="5">
        <f t="shared" si="81"/>
        <v>4.0519999999999996</v>
      </c>
      <c r="I402" s="5">
        <v>-2.0299999999999998</v>
      </c>
      <c r="J402" s="1"/>
      <c r="K402" s="5"/>
      <c r="L402" s="5">
        <f t="shared" si="82"/>
        <v>0</v>
      </c>
      <c r="M402" s="5"/>
      <c r="N402" s="1"/>
      <c r="O402" s="6"/>
      <c r="P402" s="7">
        <f t="shared" si="83"/>
        <v>-44.572000000000003</v>
      </c>
      <c r="Q402" s="3"/>
    </row>
    <row r="403" spans="1:17" ht="15" customHeight="1">
      <c r="A403" s="1">
        <v>44867</v>
      </c>
      <c r="B403" s="2" t="s">
        <v>215</v>
      </c>
      <c r="C403" s="3" t="s">
        <v>28</v>
      </c>
      <c r="D403" s="4" t="s">
        <v>773</v>
      </c>
      <c r="E403" s="1"/>
      <c r="F403" s="5">
        <v>429.5</v>
      </c>
      <c r="G403" s="5"/>
      <c r="H403" s="5">
        <f t="shared" si="81"/>
        <v>42.95</v>
      </c>
      <c r="I403" s="5"/>
      <c r="J403" s="1"/>
      <c r="K403" s="5"/>
      <c r="L403" s="5">
        <f t="shared" si="82"/>
        <v>0</v>
      </c>
      <c r="M403" s="5"/>
      <c r="N403" s="1"/>
      <c r="O403" s="6"/>
      <c r="P403" s="7">
        <f t="shared" si="83"/>
        <v>-472.45</v>
      </c>
      <c r="Q403" s="3"/>
    </row>
    <row r="404" spans="1:17">
      <c r="A404" s="1">
        <v>44867</v>
      </c>
      <c r="B404" s="25" t="s">
        <v>776</v>
      </c>
      <c r="C404" s="3" t="s">
        <v>774</v>
      </c>
      <c r="D404" s="4" t="s">
        <v>775</v>
      </c>
      <c r="E404" s="1"/>
      <c r="F404" s="5">
        <v>130</v>
      </c>
      <c r="G404" s="5"/>
      <c r="H404" s="5">
        <f t="shared" si="81"/>
        <v>13</v>
      </c>
      <c r="I404" s="5"/>
      <c r="J404" s="1"/>
      <c r="K404" s="5"/>
      <c r="L404" s="5">
        <f t="shared" si="82"/>
        <v>0</v>
      </c>
      <c r="M404" s="5">
        <v>130</v>
      </c>
      <c r="N404" s="1">
        <v>44867</v>
      </c>
      <c r="O404" s="6"/>
      <c r="P404" s="7">
        <f t="shared" si="83"/>
        <v>-13</v>
      </c>
      <c r="Q404" s="3"/>
    </row>
    <row r="405" spans="1:17">
      <c r="A405" s="1">
        <v>44867</v>
      </c>
      <c r="B405" s="25" t="s">
        <v>778</v>
      </c>
      <c r="C405" s="3" t="s">
        <v>28</v>
      </c>
      <c r="D405" s="4" t="s">
        <v>777</v>
      </c>
      <c r="E405" s="1"/>
      <c r="F405" s="5">
        <v>239.85</v>
      </c>
      <c r="G405" s="5"/>
      <c r="H405" s="5">
        <f t="shared" si="81"/>
        <v>23.984999999999999</v>
      </c>
      <c r="I405" s="5">
        <v>23.99</v>
      </c>
      <c r="J405" s="1"/>
      <c r="K405" s="5"/>
      <c r="L405" s="5">
        <f t="shared" si="82"/>
        <v>0</v>
      </c>
      <c r="M405" s="5"/>
      <c r="N405" s="1"/>
      <c r="O405" s="6"/>
      <c r="P405" s="7">
        <f t="shared" si="83"/>
        <v>-263.83499999999998</v>
      </c>
      <c r="Q405" s="3"/>
    </row>
    <row r="406" spans="1:17">
      <c r="A406" s="1">
        <v>44867</v>
      </c>
      <c r="B406" s="2" t="s">
        <v>565</v>
      </c>
      <c r="C406" s="3" t="s">
        <v>28</v>
      </c>
      <c r="D406" s="4" t="s">
        <v>779</v>
      </c>
      <c r="E406" s="1"/>
      <c r="F406" s="5">
        <v>66.03</v>
      </c>
      <c r="G406" s="5"/>
      <c r="H406" s="5">
        <f t="shared" si="81"/>
        <v>6.6029999999999998</v>
      </c>
      <c r="I406" s="5"/>
      <c r="J406" s="1"/>
      <c r="K406" s="5"/>
      <c r="L406" s="5">
        <f t="shared" si="82"/>
        <v>0</v>
      </c>
      <c r="M406" s="5"/>
      <c r="N406" s="1"/>
      <c r="O406" s="6"/>
      <c r="P406" s="7">
        <f t="shared" si="83"/>
        <v>-72.632999999999996</v>
      </c>
      <c r="Q406" s="3"/>
    </row>
    <row r="407" spans="1:17" ht="15" customHeight="1">
      <c r="A407" s="1">
        <v>44868</v>
      </c>
      <c r="B407" s="25" t="s">
        <v>295</v>
      </c>
      <c r="C407" s="3" t="s">
        <v>185</v>
      </c>
      <c r="D407" s="4" t="s">
        <v>781</v>
      </c>
      <c r="E407" s="1"/>
      <c r="F407" s="5">
        <v>95</v>
      </c>
      <c r="G407" s="5"/>
      <c r="H407" s="5"/>
      <c r="I407" s="5"/>
      <c r="J407" s="1"/>
      <c r="K407" s="5"/>
      <c r="L407" s="5">
        <f t="shared" si="82"/>
        <v>0</v>
      </c>
      <c r="M407" s="5">
        <v>95</v>
      </c>
      <c r="N407" s="1">
        <v>44868</v>
      </c>
      <c r="O407" s="6"/>
      <c r="P407" s="7">
        <f t="shared" si="83"/>
        <v>0</v>
      </c>
      <c r="Q407" s="3"/>
    </row>
    <row r="408" spans="1:17">
      <c r="A408" s="1">
        <v>44869</v>
      </c>
      <c r="B408" s="25" t="s">
        <v>786</v>
      </c>
      <c r="C408" s="3" t="s">
        <v>104</v>
      </c>
      <c r="D408" s="4" t="s">
        <v>785</v>
      </c>
      <c r="E408" s="1"/>
      <c r="F408" s="5">
        <v>318</v>
      </c>
      <c r="G408" s="5"/>
      <c r="H408" s="5">
        <f t="shared" si="81"/>
        <v>31.8</v>
      </c>
      <c r="I408" s="5"/>
      <c r="J408" s="1"/>
      <c r="K408" s="5"/>
      <c r="L408" s="5">
        <f t="shared" si="82"/>
        <v>0</v>
      </c>
      <c r="M408" s="5">
        <v>350</v>
      </c>
      <c r="N408" s="1">
        <v>44870</v>
      </c>
      <c r="O408" s="6"/>
      <c r="P408" s="7">
        <f t="shared" si="83"/>
        <v>0.19999999999998863</v>
      </c>
      <c r="Q408" s="3"/>
    </row>
    <row r="409" spans="1:17">
      <c r="A409" s="1">
        <v>44871</v>
      </c>
      <c r="B409" s="2" t="s">
        <v>789</v>
      </c>
      <c r="C409" s="3" t="s">
        <v>640</v>
      </c>
      <c r="D409" s="4" t="s">
        <v>790</v>
      </c>
      <c r="E409" s="1"/>
      <c r="F409" s="5">
        <v>87.71</v>
      </c>
      <c r="G409" s="5"/>
      <c r="H409" s="5">
        <f t="shared" si="81"/>
        <v>8.7710000000000008</v>
      </c>
      <c r="I409" s="5">
        <v>6</v>
      </c>
      <c r="J409" s="1"/>
      <c r="K409" s="5"/>
      <c r="L409" s="5">
        <f t="shared" si="82"/>
        <v>0</v>
      </c>
      <c r="M409" s="5"/>
      <c r="N409" s="1"/>
      <c r="O409" s="6"/>
      <c r="P409" s="7">
        <f t="shared" si="83"/>
        <v>-96.480999999999995</v>
      </c>
      <c r="Q409" s="3"/>
    </row>
    <row r="410" spans="1:17" ht="15" customHeight="1">
      <c r="A410" s="1">
        <v>44871</v>
      </c>
      <c r="B410" s="54" t="s">
        <v>70</v>
      </c>
      <c r="C410" s="3" t="s">
        <v>69</v>
      </c>
      <c r="D410" s="4" t="s">
        <v>791</v>
      </c>
      <c r="E410" s="1"/>
      <c r="F410" s="5">
        <v>61.31</v>
      </c>
      <c r="G410" s="5"/>
      <c r="H410" s="5">
        <f t="shared" si="81"/>
        <v>6.1310000000000002</v>
      </c>
      <c r="I410" s="5"/>
      <c r="J410" s="1"/>
      <c r="K410" s="5"/>
      <c r="L410" s="5">
        <f t="shared" si="82"/>
        <v>0</v>
      </c>
      <c r="M410" s="5"/>
      <c r="N410" s="1"/>
      <c r="O410" s="6"/>
      <c r="P410" s="7">
        <f t="shared" si="83"/>
        <v>-67.441000000000003</v>
      </c>
      <c r="Q410" s="3"/>
    </row>
    <row r="411" spans="1:17">
      <c r="A411" s="1">
        <v>44871</v>
      </c>
      <c r="B411" s="2" t="s">
        <v>51</v>
      </c>
      <c r="C411" s="3" t="s">
        <v>61</v>
      </c>
      <c r="D411" s="4" t="s">
        <v>793</v>
      </c>
      <c r="E411" s="1" t="s">
        <v>792</v>
      </c>
      <c r="F411" s="5">
        <v>615.21</v>
      </c>
      <c r="G411" s="5"/>
      <c r="H411" s="5">
        <f t="shared" si="81"/>
        <v>61.521000000000008</v>
      </c>
      <c r="I411" s="5"/>
      <c r="J411" s="1"/>
      <c r="K411" s="5"/>
      <c r="L411" s="5">
        <f t="shared" si="82"/>
        <v>0</v>
      </c>
      <c r="M411" s="5"/>
      <c r="N411" s="1"/>
      <c r="O411" s="6"/>
      <c r="P411" s="7">
        <f t="shared" si="83"/>
        <v>-676.73099999999999</v>
      </c>
      <c r="Q411" s="3"/>
    </row>
    <row r="412" spans="1:17">
      <c r="A412" s="1">
        <v>44871</v>
      </c>
      <c r="B412" s="2" t="s">
        <v>17</v>
      </c>
      <c r="C412" s="3" t="s">
        <v>39</v>
      </c>
      <c r="D412" s="4" t="s">
        <v>795</v>
      </c>
      <c r="E412" s="1" t="s">
        <v>794</v>
      </c>
      <c r="F412" s="5">
        <v>72.53</v>
      </c>
      <c r="G412" s="5"/>
      <c r="H412" s="5">
        <f t="shared" si="81"/>
        <v>7.2530000000000001</v>
      </c>
      <c r="I412" s="5"/>
      <c r="J412" s="1"/>
      <c r="K412" s="5"/>
      <c r="L412" s="5">
        <f t="shared" si="82"/>
        <v>0</v>
      </c>
      <c r="M412" s="5"/>
      <c r="N412" s="1"/>
      <c r="O412" s="6"/>
      <c r="P412" s="7">
        <f t="shared" si="83"/>
        <v>-79.783000000000001</v>
      </c>
      <c r="Q412" s="3"/>
    </row>
    <row r="413" spans="1:17">
      <c r="A413" s="1"/>
      <c r="B413" s="2"/>
      <c r="C413" s="3"/>
      <c r="D413" s="4"/>
      <c r="E413" s="1"/>
      <c r="F413" s="5"/>
      <c r="G413" s="5">
        <f t="shared" ref="G413:G418" si="84">(F413/100)*4</f>
        <v>0</v>
      </c>
      <c r="H413" s="5">
        <f t="shared" si="81"/>
        <v>0</v>
      </c>
      <c r="I413" s="5"/>
      <c r="J413" s="1"/>
      <c r="K413" s="5"/>
      <c r="L413" s="5">
        <f t="shared" si="82"/>
        <v>0</v>
      </c>
      <c r="M413" s="5"/>
      <c r="N413" s="1"/>
      <c r="O413" s="6"/>
      <c r="P413" s="7">
        <f t="shared" si="83"/>
        <v>0</v>
      </c>
      <c r="Q413" s="3"/>
    </row>
    <row r="414" spans="1:17">
      <c r="A414" s="1"/>
      <c r="B414" s="2"/>
      <c r="C414" s="3"/>
      <c r="D414" s="4"/>
      <c r="E414" s="1"/>
      <c r="F414" s="5"/>
      <c r="G414" s="5">
        <f t="shared" si="84"/>
        <v>0</v>
      </c>
      <c r="H414" s="5">
        <f t="shared" si="81"/>
        <v>0</v>
      </c>
      <c r="I414" s="5"/>
      <c r="J414" s="1"/>
      <c r="K414" s="5"/>
      <c r="L414" s="5">
        <f t="shared" si="82"/>
        <v>0</v>
      </c>
      <c r="M414" s="5"/>
      <c r="N414" s="1"/>
      <c r="O414" s="6"/>
      <c r="P414" s="7">
        <f t="shared" si="83"/>
        <v>0</v>
      </c>
      <c r="Q414" s="3"/>
    </row>
    <row r="415" spans="1:17">
      <c r="A415" s="1"/>
      <c r="B415" s="2"/>
      <c r="C415" s="3"/>
      <c r="D415" s="4"/>
      <c r="E415" s="1"/>
      <c r="F415" s="5"/>
      <c r="G415" s="5">
        <f t="shared" si="84"/>
        <v>0</v>
      </c>
      <c r="H415" s="5">
        <f t="shared" si="81"/>
        <v>0</v>
      </c>
      <c r="I415" s="5"/>
      <c r="J415" s="1"/>
      <c r="K415" s="5"/>
      <c r="L415" s="5">
        <f t="shared" si="82"/>
        <v>0</v>
      </c>
      <c r="M415" s="5"/>
      <c r="N415" s="1"/>
      <c r="O415" s="6"/>
      <c r="P415" s="7">
        <f t="shared" si="83"/>
        <v>0</v>
      </c>
      <c r="Q415" s="3"/>
    </row>
    <row r="416" spans="1:17">
      <c r="A416" s="1"/>
      <c r="B416" s="2"/>
      <c r="C416" s="3"/>
      <c r="D416" s="4"/>
      <c r="E416" s="1"/>
      <c r="F416" s="5"/>
      <c r="G416" s="5">
        <f t="shared" si="84"/>
        <v>0</v>
      </c>
      <c r="H416" s="5">
        <f t="shared" si="81"/>
        <v>0</v>
      </c>
      <c r="I416" s="5"/>
      <c r="J416" s="1"/>
      <c r="K416" s="5"/>
      <c r="L416" s="5">
        <f t="shared" si="82"/>
        <v>0</v>
      </c>
      <c r="M416" s="5"/>
      <c r="N416" s="1"/>
      <c r="O416" s="6"/>
      <c r="P416" s="7">
        <f t="shared" si="83"/>
        <v>0</v>
      </c>
      <c r="Q416" s="3"/>
    </row>
    <row r="417" spans="1:17">
      <c r="A417" s="1"/>
      <c r="B417" s="2"/>
      <c r="C417" s="3"/>
      <c r="D417" s="4"/>
      <c r="E417" s="1"/>
      <c r="F417" s="5"/>
      <c r="G417" s="5">
        <f t="shared" si="84"/>
        <v>0</v>
      </c>
      <c r="H417" s="5">
        <f t="shared" si="81"/>
        <v>0</v>
      </c>
      <c r="I417" s="5"/>
      <c r="J417" s="1"/>
      <c r="K417" s="5"/>
      <c r="L417" s="5">
        <f t="shared" si="82"/>
        <v>0</v>
      </c>
      <c r="M417" s="5"/>
      <c r="N417" s="1"/>
      <c r="O417" s="6"/>
      <c r="P417" s="7">
        <f t="shared" si="83"/>
        <v>0</v>
      </c>
      <c r="Q417" s="3"/>
    </row>
    <row r="418" spans="1:17">
      <c r="A418" s="1"/>
      <c r="B418" s="2"/>
      <c r="C418" s="3"/>
      <c r="D418" s="4"/>
      <c r="E418" s="1"/>
      <c r="F418" s="5"/>
      <c r="G418" s="5">
        <f t="shared" si="84"/>
        <v>0</v>
      </c>
      <c r="H418" s="5">
        <f t="shared" si="81"/>
        <v>0</v>
      </c>
      <c r="I418" s="5"/>
      <c r="J418" s="1"/>
      <c r="K418" s="5"/>
      <c r="L418" s="5">
        <f t="shared" si="82"/>
        <v>0</v>
      </c>
      <c r="M418" s="5"/>
      <c r="N418" s="1"/>
      <c r="O418" s="6"/>
      <c r="P418" s="7">
        <f t="shared" si="83"/>
        <v>0</v>
      </c>
      <c r="Q418" s="3"/>
    </row>
  </sheetData>
  <autoFilter ref="A1:Q418"/>
  <conditionalFormatting sqref="C41">
    <cfRule type="timePeriod" dxfId="6" priority="4" timePeriod="yesterday">
      <formula>FLOOR(C41,1)=TODAY()-1</formula>
    </cfRule>
  </conditionalFormatting>
  <conditionalFormatting sqref="C43">
    <cfRule type="timePeriod" dxfId="5" priority="3" timePeriod="yesterday">
      <formula>FLOOR(C43,1)=TODAY()-1</formula>
    </cfRule>
  </conditionalFormatting>
  <conditionalFormatting sqref="C44">
    <cfRule type="timePeriod" dxfId="4" priority="2" timePeriod="yesterday">
      <formula>FLOOR(C44,1)=TODAY()-1</formula>
    </cfRule>
  </conditionalFormatting>
  <conditionalFormatting sqref="C54">
    <cfRule type="timePeriod" dxfId="3" priority="1" timePeriod="yesterday">
      <formula>FLOOR(C54,1)=TODAY()-1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48576"/>
  <sheetViews>
    <sheetView topLeftCell="A392" workbookViewId="0">
      <selection activeCell="A417" sqref="A417"/>
    </sheetView>
  </sheetViews>
  <sheetFormatPr defaultRowHeight="15"/>
  <cols>
    <col min="3" max="3" width="28.7109375" bestFit="1" customWidth="1"/>
  </cols>
  <sheetData>
    <row r="1" spans="1:5" ht="30">
      <c r="A1" s="19" t="s">
        <v>20</v>
      </c>
      <c r="B1" s="20" t="s">
        <v>21</v>
      </c>
      <c r="C1" s="21" t="s">
        <v>22</v>
      </c>
      <c r="D1" s="20" t="s">
        <v>23</v>
      </c>
      <c r="E1" s="22" t="s">
        <v>24</v>
      </c>
    </row>
    <row r="2" spans="1:5">
      <c r="A2" s="28">
        <v>54319421</v>
      </c>
      <c r="B2" s="23">
        <v>1.3</v>
      </c>
      <c r="C2" s="23" t="s">
        <v>25</v>
      </c>
      <c r="D2" s="23">
        <v>3.21</v>
      </c>
      <c r="E2" s="26">
        <v>44720</v>
      </c>
    </row>
    <row r="3" spans="1:5">
      <c r="A3" s="28">
        <v>54316086</v>
      </c>
      <c r="B3" s="23">
        <v>0.35</v>
      </c>
      <c r="C3" s="23" t="s">
        <v>25</v>
      </c>
      <c r="D3" s="23">
        <v>1.07</v>
      </c>
      <c r="E3" s="26">
        <v>44720</v>
      </c>
    </row>
    <row r="4" spans="1:5">
      <c r="A4" s="28">
        <v>54316745</v>
      </c>
      <c r="B4" s="23">
        <v>0.2</v>
      </c>
      <c r="C4" s="23" t="s">
        <v>25</v>
      </c>
      <c r="D4" s="23">
        <v>0.7</v>
      </c>
      <c r="E4" s="26">
        <v>44720</v>
      </c>
    </row>
    <row r="5" spans="1:5">
      <c r="A5" s="28">
        <v>54318220</v>
      </c>
      <c r="B5" s="23">
        <v>3.3</v>
      </c>
      <c r="C5" s="23" t="s">
        <v>25</v>
      </c>
      <c r="D5" s="23">
        <v>8.1300000000000008</v>
      </c>
      <c r="E5" s="26">
        <v>44720</v>
      </c>
    </row>
    <row r="6" spans="1:5">
      <c r="A6" s="28">
        <v>54320981</v>
      </c>
      <c r="B6" s="23">
        <v>0.62</v>
      </c>
      <c r="C6" s="23" t="s">
        <v>25</v>
      </c>
      <c r="D6" s="23">
        <v>1.53</v>
      </c>
      <c r="E6" s="26">
        <v>44720</v>
      </c>
    </row>
    <row r="7" spans="1:5">
      <c r="A7" s="28">
        <v>18757569</v>
      </c>
      <c r="B7" s="23">
        <v>0.14000000000000001</v>
      </c>
      <c r="C7" s="24" t="s">
        <v>26</v>
      </c>
      <c r="D7" s="23">
        <v>1.01</v>
      </c>
      <c r="E7" s="26">
        <v>44720</v>
      </c>
    </row>
    <row r="8" spans="1:5">
      <c r="A8" s="28">
        <v>18758140</v>
      </c>
      <c r="B8" s="23">
        <v>0.82</v>
      </c>
      <c r="C8" s="24" t="s">
        <v>26</v>
      </c>
      <c r="D8" s="23">
        <v>5.9</v>
      </c>
      <c r="E8" s="26">
        <v>44720</v>
      </c>
    </row>
    <row r="9" spans="1:5">
      <c r="A9" s="28">
        <v>18759653</v>
      </c>
      <c r="B9" s="23">
        <v>0.91</v>
      </c>
      <c r="C9" s="23" t="s">
        <v>27</v>
      </c>
      <c r="D9" s="23">
        <v>6.54</v>
      </c>
      <c r="E9" s="26">
        <v>44720</v>
      </c>
    </row>
    <row r="10" spans="1:5">
      <c r="A10" s="28">
        <v>18764651</v>
      </c>
      <c r="B10" s="23">
        <v>0.82</v>
      </c>
      <c r="C10" s="23" t="s">
        <v>30</v>
      </c>
      <c r="D10" s="23">
        <v>5.9</v>
      </c>
      <c r="E10" s="26">
        <v>44727</v>
      </c>
    </row>
    <row r="11" spans="1:5">
      <c r="A11" s="28">
        <v>18772757</v>
      </c>
      <c r="B11" s="23">
        <v>1.1299999999999999</v>
      </c>
      <c r="C11" s="23" t="s">
        <v>34</v>
      </c>
      <c r="D11" s="23">
        <v>8.1199999999999992</v>
      </c>
      <c r="E11" s="26">
        <v>44733</v>
      </c>
    </row>
    <row r="12" spans="1:5">
      <c r="A12" s="28">
        <v>18775960</v>
      </c>
      <c r="B12" s="23">
        <v>0.46</v>
      </c>
      <c r="C12" s="23" t="s">
        <v>34</v>
      </c>
      <c r="D12" s="23">
        <v>3.31</v>
      </c>
      <c r="E12" s="26">
        <v>44733</v>
      </c>
    </row>
    <row r="13" spans="1:5">
      <c r="A13" s="28">
        <v>18775580</v>
      </c>
      <c r="B13" s="23">
        <v>0.18</v>
      </c>
      <c r="C13" s="23" t="s">
        <v>35</v>
      </c>
      <c r="D13" s="23">
        <v>1.29</v>
      </c>
      <c r="E13" s="26">
        <v>44733</v>
      </c>
    </row>
    <row r="14" spans="1:5">
      <c r="A14" s="28">
        <v>18778327</v>
      </c>
      <c r="B14" s="23">
        <v>2.38</v>
      </c>
      <c r="C14" s="23" t="s">
        <v>35</v>
      </c>
      <c r="D14" s="23">
        <v>17.11</v>
      </c>
      <c r="E14" s="26">
        <v>44733</v>
      </c>
    </row>
    <row r="15" spans="1:5">
      <c r="A15" s="28">
        <v>18781634</v>
      </c>
      <c r="B15" s="23">
        <v>0.76</v>
      </c>
      <c r="C15" s="23" t="s">
        <v>35</v>
      </c>
      <c r="D15" s="23">
        <v>5.46</v>
      </c>
      <c r="E15" s="26">
        <v>44733</v>
      </c>
    </row>
    <row r="16" spans="1:5">
      <c r="A16" s="28">
        <v>54338761</v>
      </c>
      <c r="B16" s="23">
        <v>1.2</v>
      </c>
      <c r="C16" s="23" t="s">
        <v>36</v>
      </c>
      <c r="D16" s="23">
        <v>3</v>
      </c>
      <c r="E16" s="26">
        <v>44727</v>
      </c>
    </row>
    <row r="17" spans="1:5">
      <c r="A17" s="28">
        <v>54338173</v>
      </c>
      <c r="B17" s="23">
        <v>0.6</v>
      </c>
      <c r="C17" s="23" t="s">
        <v>36</v>
      </c>
      <c r="D17" s="23">
        <v>2</v>
      </c>
      <c r="E17" s="26">
        <v>44727</v>
      </c>
    </row>
    <row r="18" spans="1:5">
      <c r="A18" s="28">
        <v>18778297</v>
      </c>
      <c r="B18" s="23">
        <v>0.68</v>
      </c>
      <c r="C18" s="23" t="s">
        <v>52</v>
      </c>
      <c r="D18" s="23">
        <v>4.8899999999999997</v>
      </c>
      <c r="E18" s="26">
        <v>44729</v>
      </c>
    </row>
    <row r="19" spans="1:5">
      <c r="A19" s="28">
        <v>54335350</v>
      </c>
      <c r="B19" s="23">
        <v>0.6</v>
      </c>
      <c r="C19" s="23" t="s">
        <v>53</v>
      </c>
      <c r="D19" s="23">
        <v>1.5</v>
      </c>
      <c r="E19" s="26">
        <v>44729</v>
      </c>
    </row>
    <row r="20" spans="1:5">
      <c r="A20" s="28">
        <v>54351635</v>
      </c>
      <c r="B20" s="23">
        <v>1.94</v>
      </c>
      <c r="C20" s="23" t="s">
        <v>53</v>
      </c>
      <c r="D20" s="23">
        <v>5</v>
      </c>
      <c r="E20" s="26">
        <v>44729</v>
      </c>
    </row>
    <row r="21" spans="1:5">
      <c r="A21" s="28">
        <v>54330143</v>
      </c>
      <c r="B21" s="23">
        <v>0.1</v>
      </c>
      <c r="C21" s="23" t="s">
        <v>54</v>
      </c>
      <c r="D21" s="23">
        <v>1</v>
      </c>
      <c r="E21" s="26">
        <v>44727</v>
      </c>
    </row>
    <row r="22" spans="1:5">
      <c r="A22" s="28">
        <v>54330345</v>
      </c>
      <c r="B22" s="23">
        <v>0.5</v>
      </c>
      <c r="C22" s="23" t="s">
        <v>54</v>
      </c>
      <c r="D22" s="23">
        <v>2</v>
      </c>
      <c r="E22" s="26">
        <v>44727</v>
      </c>
    </row>
    <row r="23" spans="1:5">
      <c r="A23" s="28">
        <v>54334095</v>
      </c>
      <c r="B23" s="23">
        <v>0.45</v>
      </c>
      <c r="C23" s="23" t="s">
        <v>55</v>
      </c>
      <c r="D23" s="23">
        <v>1</v>
      </c>
      <c r="E23" s="26">
        <v>44727</v>
      </c>
    </row>
    <row r="24" spans="1:5">
      <c r="A24" s="28">
        <v>54360261</v>
      </c>
      <c r="B24" s="23">
        <v>0.7</v>
      </c>
      <c r="C24" s="23" t="s">
        <v>66</v>
      </c>
      <c r="D24" s="23">
        <v>3</v>
      </c>
      <c r="E24" s="26">
        <v>44733</v>
      </c>
    </row>
    <row r="25" spans="1:5">
      <c r="A25" s="28">
        <v>18796857</v>
      </c>
      <c r="B25" s="23">
        <v>0.5</v>
      </c>
      <c r="C25" s="23" t="s">
        <v>67</v>
      </c>
      <c r="D25" s="23">
        <v>3.6</v>
      </c>
      <c r="E25" s="26">
        <v>44733</v>
      </c>
    </row>
    <row r="26" spans="1:5">
      <c r="A26" s="28">
        <v>18801240</v>
      </c>
      <c r="B26" s="23">
        <v>1.24</v>
      </c>
      <c r="C26" s="23" t="s">
        <v>82</v>
      </c>
      <c r="D26" s="23">
        <v>8.92</v>
      </c>
      <c r="E26" s="26">
        <v>44740</v>
      </c>
    </row>
    <row r="27" spans="1:5">
      <c r="A27" s="28">
        <v>54360660</v>
      </c>
      <c r="B27" s="23">
        <v>2.65</v>
      </c>
      <c r="C27" s="23" t="s">
        <v>85</v>
      </c>
      <c r="D27" s="23">
        <v>7</v>
      </c>
      <c r="E27" s="26">
        <v>44740</v>
      </c>
    </row>
    <row r="28" spans="1:5">
      <c r="A28" s="28">
        <v>54367838</v>
      </c>
      <c r="B28" s="23">
        <v>0.6</v>
      </c>
      <c r="C28" s="23" t="s">
        <v>85</v>
      </c>
      <c r="D28" s="23">
        <v>1.45</v>
      </c>
      <c r="E28" s="26">
        <v>44740</v>
      </c>
    </row>
    <row r="29" spans="1:5">
      <c r="A29" s="28">
        <v>18805550</v>
      </c>
      <c r="B29" s="23">
        <v>1.96</v>
      </c>
      <c r="C29" s="23" t="s">
        <v>86</v>
      </c>
      <c r="D29" s="23">
        <v>14.09</v>
      </c>
      <c r="E29" s="26">
        <v>44740</v>
      </c>
    </row>
    <row r="30" spans="1:5">
      <c r="A30" s="28">
        <v>18805812</v>
      </c>
      <c r="B30" s="23">
        <v>1.45</v>
      </c>
      <c r="C30" s="23" t="s">
        <v>86</v>
      </c>
      <c r="D30" s="23">
        <v>10.43</v>
      </c>
      <c r="E30" s="26">
        <v>44740</v>
      </c>
    </row>
    <row r="31" spans="1:5">
      <c r="A31" s="28">
        <v>18813656</v>
      </c>
      <c r="B31" s="23">
        <v>0.18</v>
      </c>
      <c r="C31" s="23" t="s">
        <v>106</v>
      </c>
      <c r="D31" s="23">
        <v>1.29</v>
      </c>
      <c r="E31" s="26">
        <v>44747</v>
      </c>
    </row>
    <row r="32" spans="1:5">
      <c r="A32" s="28">
        <v>18818713</v>
      </c>
      <c r="B32" s="23">
        <v>0.32</v>
      </c>
      <c r="C32" s="23" t="s">
        <v>121</v>
      </c>
      <c r="D32" s="23">
        <v>2.2999999999999998</v>
      </c>
      <c r="E32" s="26">
        <v>44747</v>
      </c>
    </row>
    <row r="33" spans="1:5">
      <c r="A33" s="28">
        <v>18822093</v>
      </c>
      <c r="B33" s="23">
        <v>0.92</v>
      </c>
      <c r="C33" s="23" t="s">
        <v>122</v>
      </c>
      <c r="D33" s="23">
        <v>6.61</v>
      </c>
      <c r="E33" s="26">
        <v>44747</v>
      </c>
    </row>
    <row r="34" spans="1:5">
      <c r="A34" s="28">
        <v>18821601</v>
      </c>
      <c r="B34" s="23">
        <v>1.1299999999999999</v>
      </c>
      <c r="C34" s="23" t="s">
        <v>122</v>
      </c>
      <c r="D34" s="23">
        <v>8.1199999999999992</v>
      </c>
      <c r="E34" s="26">
        <v>44747</v>
      </c>
    </row>
    <row r="35" spans="1:5">
      <c r="A35" s="28">
        <v>18821168</v>
      </c>
      <c r="B35" s="23">
        <v>0.86</v>
      </c>
      <c r="C35" s="23" t="s">
        <v>122</v>
      </c>
      <c r="D35" s="23">
        <v>6.18</v>
      </c>
      <c r="E35" s="26">
        <v>44747</v>
      </c>
    </row>
    <row r="36" spans="1:5">
      <c r="A36" s="28">
        <v>18821721</v>
      </c>
      <c r="B36" s="23">
        <v>0.41</v>
      </c>
      <c r="C36" s="23" t="s">
        <v>122</v>
      </c>
      <c r="D36" s="23">
        <v>2.95</v>
      </c>
      <c r="E36" s="26">
        <v>44747</v>
      </c>
    </row>
    <row r="37" spans="1:5">
      <c r="A37" s="28">
        <v>18822718</v>
      </c>
      <c r="B37" s="23">
        <v>0.45</v>
      </c>
      <c r="C37" s="23" t="s">
        <v>122</v>
      </c>
      <c r="D37" s="23">
        <v>3.24</v>
      </c>
      <c r="E37" s="26">
        <v>44747</v>
      </c>
    </row>
    <row r="38" spans="1:5">
      <c r="A38" s="28">
        <v>18822717</v>
      </c>
      <c r="B38" s="23">
        <v>0.32</v>
      </c>
      <c r="C38" s="23" t="s">
        <v>122</v>
      </c>
      <c r="D38" s="23">
        <v>2.2999999999999998</v>
      </c>
      <c r="E38" s="26">
        <v>44747</v>
      </c>
    </row>
    <row r="39" spans="1:5">
      <c r="A39" s="28">
        <v>54398143</v>
      </c>
      <c r="B39" s="23">
        <v>1.75</v>
      </c>
      <c r="C39" s="23" t="s">
        <v>123</v>
      </c>
      <c r="D39" s="23">
        <v>4</v>
      </c>
      <c r="E39" s="26">
        <v>44750</v>
      </c>
    </row>
    <row r="40" spans="1:5">
      <c r="A40" s="28">
        <v>54398485</v>
      </c>
      <c r="B40" s="23">
        <v>2.5</v>
      </c>
      <c r="C40" s="23" t="s">
        <v>123</v>
      </c>
      <c r="D40" s="23">
        <v>6</v>
      </c>
      <c r="E40" s="26">
        <v>44750</v>
      </c>
    </row>
    <row r="41" spans="1:5">
      <c r="A41" s="28">
        <v>54366889</v>
      </c>
      <c r="B41" s="23">
        <v>0.96</v>
      </c>
      <c r="C41" s="23" t="s">
        <v>124</v>
      </c>
      <c r="D41" s="23">
        <v>3</v>
      </c>
      <c r="E41" s="26">
        <v>44750</v>
      </c>
    </row>
    <row r="42" spans="1:5">
      <c r="A42" s="28">
        <v>54416876</v>
      </c>
      <c r="B42" s="23">
        <v>1</v>
      </c>
      <c r="C42" s="23" t="s">
        <v>124</v>
      </c>
      <c r="D42" s="23">
        <v>3</v>
      </c>
      <c r="E42" s="26">
        <v>44750</v>
      </c>
    </row>
    <row r="43" spans="1:5">
      <c r="A43" s="28">
        <v>54410492</v>
      </c>
      <c r="B43" s="23">
        <v>0.5</v>
      </c>
      <c r="C43" s="23" t="s">
        <v>125</v>
      </c>
      <c r="D43" s="23">
        <v>1.5</v>
      </c>
      <c r="E43" s="26">
        <v>44750</v>
      </c>
    </row>
    <row r="44" spans="1:5">
      <c r="A44" s="28">
        <v>54373241</v>
      </c>
      <c r="B44" s="23">
        <v>1.1000000000000001</v>
      </c>
      <c r="C44" s="23" t="s">
        <v>128</v>
      </c>
      <c r="D44" s="23">
        <v>2</v>
      </c>
      <c r="E44" s="26">
        <v>44750</v>
      </c>
    </row>
    <row r="45" spans="1:5">
      <c r="A45" s="28">
        <v>54403939</v>
      </c>
      <c r="B45" s="23">
        <v>0.7</v>
      </c>
      <c r="C45" s="23" t="s">
        <v>128</v>
      </c>
      <c r="D45" s="23">
        <v>1.5</v>
      </c>
      <c r="E45" s="26">
        <v>44750</v>
      </c>
    </row>
    <row r="46" spans="1:5">
      <c r="A46" s="28">
        <v>54407098</v>
      </c>
      <c r="B46" s="23">
        <v>0.8</v>
      </c>
      <c r="C46" s="23" t="s">
        <v>128</v>
      </c>
      <c r="D46" s="23">
        <v>1.5</v>
      </c>
      <c r="E46" s="26">
        <v>44750</v>
      </c>
    </row>
    <row r="47" spans="1:5">
      <c r="A47" s="28">
        <v>54406931</v>
      </c>
      <c r="B47" s="23">
        <v>0.8</v>
      </c>
      <c r="C47" s="23" t="s">
        <v>128</v>
      </c>
      <c r="D47" s="23">
        <v>1.5</v>
      </c>
      <c r="E47" s="26">
        <v>44750</v>
      </c>
    </row>
    <row r="48" spans="1:5">
      <c r="A48" s="28">
        <v>54402882</v>
      </c>
      <c r="B48" s="23">
        <v>0.7</v>
      </c>
      <c r="C48" s="23" t="s">
        <v>128</v>
      </c>
      <c r="D48" s="23">
        <v>1.5</v>
      </c>
      <c r="E48" s="26">
        <v>44750</v>
      </c>
    </row>
    <row r="49" spans="1:5">
      <c r="A49" s="28">
        <v>18827468</v>
      </c>
      <c r="B49" s="23">
        <v>0.05</v>
      </c>
      <c r="C49" s="23" t="s">
        <v>129</v>
      </c>
      <c r="D49" s="23">
        <v>0.36</v>
      </c>
      <c r="E49" s="26">
        <v>44750</v>
      </c>
    </row>
    <row r="50" spans="1:5">
      <c r="A50" s="28">
        <v>18829996</v>
      </c>
      <c r="B50" s="23">
        <v>0.75</v>
      </c>
      <c r="C50" s="23" t="s">
        <v>129</v>
      </c>
      <c r="D50" s="23">
        <v>5.39</v>
      </c>
      <c r="E50" s="26">
        <v>44753</v>
      </c>
    </row>
    <row r="51" spans="1:5">
      <c r="A51" s="28">
        <v>18830109</v>
      </c>
      <c r="B51" s="23">
        <v>0.66</v>
      </c>
      <c r="C51" s="23" t="s">
        <v>129</v>
      </c>
      <c r="D51" s="23">
        <v>4.75</v>
      </c>
      <c r="E51" s="26">
        <v>44750</v>
      </c>
    </row>
    <row r="52" spans="1:5">
      <c r="A52" s="28">
        <v>54439966</v>
      </c>
      <c r="B52" s="23">
        <v>1.04</v>
      </c>
      <c r="C52" s="23" t="s">
        <v>130</v>
      </c>
      <c r="D52" s="23">
        <v>3.35</v>
      </c>
      <c r="E52" s="26">
        <v>44769</v>
      </c>
    </row>
    <row r="53" spans="1:5">
      <c r="A53" s="28">
        <v>54438378</v>
      </c>
      <c r="B53" s="23">
        <v>0.2</v>
      </c>
      <c r="C53" s="23" t="s">
        <v>130</v>
      </c>
      <c r="D53" s="23">
        <v>1.5</v>
      </c>
      <c r="E53" s="26">
        <v>44750</v>
      </c>
    </row>
    <row r="54" spans="1:5">
      <c r="A54" s="28">
        <v>18831598</v>
      </c>
      <c r="B54" s="23">
        <v>0.32</v>
      </c>
      <c r="C54" s="23" t="s">
        <v>134</v>
      </c>
      <c r="D54" s="23">
        <v>2.2999999999999998</v>
      </c>
      <c r="E54" s="26">
        <v>44753</v>
      </c>
    </row>
    <row r="55" spans="1:5">
      <c r="A55" s="28">
        <v>18832169</v>
      </c>
      <c r="B55" s="23">
        <v>0.36</v>
      </c>
      <c r="C55" s="23" t="s">
        <v>134</v>
      </c>
      <c r="D55" s="23">
        <v>2.59</v>
      </c>
      <c r="E55" s="26">
        <v>44753</v>
      </c>
    </row>
    <row r="56" spans="1:5">
      <c r="A56" s="28">
        <v>18833054</v>
      </c>
      <c r="B56" s="23">
        <v>0.65</v>
      </c>
      <c r="C56" s="23" t="s">
        <v>134</v>
      </c>
      <c r="D56" s="23">
        <v>4.67</v>
      </c>
      <c r="E56" s="26">
        <v>44753</v>
      </c>
    </row>
    <row r="57" spans="1:5">
      <c r="A57" s="28">
        <v>18834619</v>
      </c>
      <c r="B57" s="23">
        <v>0.27</v>
      </c>
      <c r="C57" s="23" t="s">
        <v>135</v>
      </c>
      <c r="D57" s="23">
        <v>1.94</v>
      </c>
      <c r="E57" s="26">
        <v>44753</v>
      </c>
    </row>
    <row r="58" spans="1:5">
      <c r="A58" s="28">
        <v>18835277</v>
      </c>
      <c r="B58" s="23">
        <v>1.18</v>
      </c>
      <c r="C58" s="23" t="s">
        <v>135</v>
      </c>
      <c r="D58" s="23">
        <v>8.48</v>
      </c>
      <c r="E58" s="26">
        <v>44753</v>
      </c>
    </row>
    <row r="59" spans="1:5">
      <c r="A59" s="28">
        <v>18835203</v>
      </c>
      <c r="B59" s="23">
        <v>0.05</v>
      </c>
      <c r="C59" s="23" t="s">
        <v>147</v>
      </c>
      <c r="D59" s="23">
        <v>0.36</v>
      </c>
      <c r="E59" s="26">
        <v>44757</v>
      </c>
    </row>
    <row r="60" spans="1:5">
      <c r="A60" s="28">
        <v>18838880</v>
      </c>
      <c r="B60" s="23">
        <v>0.45</v>
      </c>
      <c r="C60" s="23" t="s">
        <v>147</v>
      </c>
      <c r="D60" s="23">
        <v>3.24</v>
      </c>
      <c r="E60" s="26">
        <v>44757</v>
      </c>
    </row>
    <row r="61" spans="1:5">
      <c r="A61" s="28">
        <v>18840445</v>
      </c>
      <c r="B61" s="23">
        <v>0.32</v>
      </c>
      <c r="C61" s="23" t="s">
        <v>148</v>
      </c>
      <c r="D61" s="23">
        <v>2.2999999999999998</v>
      </c>
      <c r="E61" s="26">
        <v>44757</v>
      </c>
    </row>
    <row r="62" spans="1:5">
      <c r="A62" s="28">
        <v>18843434</v>
      </c>
      <c r="B62" s="23">
        <v>0.05</v>
      </c>
      <c r="C62" s="23" t="s">
        <v>148</v>
      </c>
      <c r="D62" s="23">
        <v>0.36</v>
      </c>
      <c r="E62" s="26">
        <v>44757</v>
      </c>
    </row>
    <row r="63" spans="1:5">
      <c r="A63" s="28">
        <v>54452720</v>
      </c>
      <c r="B63" s="23">
        <v>1.1399999999999999</v>
      </c>
      <c r="C63" s="23" t="s">
        <v>149</v>
      </c>
      <c r="D63" s="23">
        <v>3</v>
      </c>
      <c r="E63" s="26">
        <v>44764</v>
      </c>
    </row>
    <row r="64" spans="1:5">
      <c r="A64" s="28">
        <v>54457079</v>
      </c>
      <c r="B64" s="23">
        <v>1.1000000000000001</v>
      </c>
      <c r="C64" s="23" t="s">
        <v>150</v>
      </c>
      <c r="D64" s="23">
        <v>3</v>
      </c>
      <c r="E64" s="26">
        <v>44757</v>
      </c>
    </row>
    <row r="65" spans="1:5">
      <c r="A65" s="28">
        <v>54476127</v>
      </c>
      <c r="B65" s="23">
        <v>0.5</v>
      </c>
      <c r="C65" s="23" t="s">
        <v>150</v>
      </c>
      <c r="D65" s="23">
        <v>2</v>
      </c>
      <c r="E65" s="26">
        <v>44757</v>
      </c>
    </row>
    <row r="66" spans="1:5">
      <c r="A66" s="28">
        <v>18847684</v>
      </c>
      <c r="B66" s="23">
        <v>0.68</v>
      </c>
      <c r="C66" s="23" t="s">
        <v>159</v>
      </c>
      <c r="D66" s="23">
        <v>4.8899999999999997</v>
      </c>
      <c r="E66" s="26">
        <v>44757</v>
      </c>
    </row>
    <row r="67" spans="1:5">
      <c r="A67" s="28">
        <v>18847528</v>
      </c>
      <c r="B67" s="23">
        <v>0.64</v>
      </c>
      <c r="C67" s="23" t="s">
        <v>160</v>
      </c>
      <c r="D67" s="23">
        <v>4.5999999999999996</v>
      </c>
      <c r="E67" s="26">
        <v>44757</v>
      </c>
    </row>
    <row r="68" spans="1:5">
      <c r="A68" s="28">
        <v>18850839</v>
      </c>
      <c r="B68" s="23">
        <v>0.05</v>
      </c>
      <c r="C68" s="23" t="s">
        <v>160</v>
      </c>
      <c r="D68" s="23">
        <v>0.36</v>
      </c>
      <c r="E68" s="26">
        <v>44757</v>
      </c>
    </row>
    <row r="69" spans="1:5">
      <c r="A69" s="28">
        <v>18853099</v>
      </c>
      <c r="B69" s="23">
        <v>0.2</v>
      </c>
      <c r="C69" s="23" t="s">
        <v>160</v>
      </c>
      <c r="D69" s="23">
        <v>1.44</v>
      </c>
      <c r="E69" s="26">
        <v>44757</v>
      </c>
    </row>
    <row r="70" spans="1:5">
      <c r="A70" s="28">
        <v>54477763</v>
      </c>
      <c r="B70" s="23">
        <v>0.1</v>
      </c>
      <c r="C70" s="23" t="s">
        <v>161</v>
      </c>
      <c r="D70" s="23">
        <v>0.5</v>
      </c>
      <c r="E70" s="26">
        <v>44769</v>
      </c>
    </row>
    <row r="71" spans="1:5">
      <c r="A71" s="28">
        <v>54475770</v>
      </c>
      <c r="B71" s="23">
        <v>2.2000000000000002</v>
      </c>
      <c r="C71" s="23" t="s">
        <v>161</v>
      </c>
      <c r="D71" s="23">
        <v>7</v>
      </c>
      <c r="E71" s="26">
        <v>44769</v>
      </c>
    </row>
    <row r="72" spans="1:5">
      <c r="A72" s="28">
        <v>54461968</v>
      </c>
      <c r="B72" s="23">
        <v>1.7</v>
      </c>
      <c r="C72" s="23" t="s">
        <v>161</v>
      </c>
      <c r="D72" s="23">
        <v>5</v>
      </c>
      <c r="E72" s="26">
        <v>44769</v>
      </c>
    </row>
    <row r="73" spans="1:5">
      <c r="A73" s="28">
        <v>54474980</v>
      </c>
      <c r="B73" s="23">
        <v>0.15</v>
      </c>
      <c r="C73" s="23" t="s">
        <v>161</v>
      </c>
      <c r="D73" s="23">
        <v>1</v>
      </c>
      <c r="E73" s="26">
        <v>44769</v>
      </c>
    </row>
    <row r="74" spans="1:5">
      <c r="A74" s="28">
        <v>54484827</v>
      </c>
      <c r="B74" s="23">
        <v>0.38</v>
      </c>
      <c r="C74" s="23" t="s">
        <v>162</v>
      </c>
      <c r="D74" s="23">
        <v>1.2</v>
      </c>
      <c r="E74" s="26">
        <v>44769</v>
      </c>
    </row>
    <row r="75" spans="1:5">
      <c r="A75" s="28">
        <v>18853622</v>
      </c>
      <c r="B75" s="23">
        <v>2.1800000000000002</v>
      </c>
      <c r="C75" s="23" t="s">
        <v>164</v>
      </c>
      <c r="D75" s="23">
        <v>15.67</v>
      </c>
      <c r="E75" s="26">
        <v>44769</v>
      </c>
    </row>
    <row r="76" spans="1:5">
      <c r="A76" s="31" t="s">
        <v>172</v>
      </c>
      <c r="B76" s="23">
        <v>0.95</v>
      </c>
      <c r="C76" s="23" t="s">
        <v>171</v>
      </c>
      <c r="D76" s="23">
        <v>7.51</v>
      </c>
      <c r="E76" s="26">
        <v>44757</v>
      </c>
    </row>
    <row r="77" spans="1:5">
      <c r="A77" s="28">
        <v>54490937</v>
      </c>
      <c r="B77" s="23">
        <v>0.2</v>
      </c>
      <c r="C77" s="23" t="s">
        <v>183</v>
      </c>
      <c r="D77" s="23">
        <v>1</v>
      </c>
      <c r="E77" s="26">
        <v>44764</v>
      </c>
    </row>
    <row r="78" spans="1:5">
      <c r="A78" s="28">
        <v>18859719</v>
      </c>
      <c r="B78" s="23">
        <v>1.64</v>
      </c>
      <c r="C78" s="23" t="s">
        <v>184</v>
      </c>
      <c r="D78" s="23">
        <v>11.79</v>
      </c>
      <c r="E78" s="26">
        <v>44776</v>
      </c>
    </row>
    <row r="79" spans="1:5">
      <c r="A79" s="28">
        <v>18865612</v>
      </c>
      <c r="B79" s="23">
        <v>1</v>
      </c>
      <c r="C79" s="23" t="s">
        <v>186</v>
      </c>
      <c r="D79" s="23">
        <v>7.19</v>
      </c>
      <c r="E79" s="26">
        <v>44776</v>
      </c>
    </row>
    <row r="80" spans="1:5">
      <c r="A80" s="28">
        <v>18867094</v>
      </c>
      <c r="B80" s="23">
        <v>2.84</v>
      </c>
      <c r="C80" s="23" t="s">
        <v>186</v>
      </c>
      <c r="D80" s="23">
        <v>20.420000000000002</v>
      </c>
      <c r="E80" s="26">
        <v>44776</v>
      </c>
    </row>
    <row r="81" spans="1:5">
      <c r="A81" s="28">
        <v>18866898</v>
      </c>
      <c r="B81" s="23">
        <v>0.59</v>
      </c>
      <c r="C81" s="23" t="s">
        <v>191</v>
      </c>
      <c r="D81" s="23">
        <v>4.54</v>
      </c>
      <c r="E81" s="26">
        <v>44776</v>
      </c>
    </row>
    <row r="82" spans="1:5">
      <c r="A82" s="28">
        <v>18867970</v>
      </c>
      <c r="B82" s="23">
        <v>1.76</v>
      </c>
      <c r="C82" s="23" t="s">
        <v>191</v>
      </c>
      <c r="D82" s="23">
        <v>12.65</v>
      </c>
      <c r="E82" s="26">
        <v>44776</v>
      </c>
    </row>
    <row r="83" spans="1:5">
      <c r="A83" s="28">
        <v>18867214</v>
      </c>
      <c r="B83" s="23">
        <v>0.68</v>
      </c>
      <c r="C83" s="23" t="s">
        <v>191</v>
      </c>
      <c r="D83" s="23">
        <v>4.8899999999999997</v>
      </c>
      <c r="E83" s="26">
        <v>44776</v>
      </c>
    </row>
    <row r="84" spans="1:5">
      <c r="A84" s="28">
        <v>18869146</v>
      </c>
      <c r="B84" s="23">
        <v>0.59</v>
      </c>
      <c r="C84" s="23" t="s">
        <v>191</v>
      </c>
      <c r="D84" s="23">
        <v>4.24</v>
      </c>
      <c r="E84" s="26">
        <v>44776</v>
      </c>
    </row>
    <row r="85" spans="1:5">
      <c r="A85" s="28" t="s">
        <v>204</v>
      </c>
      <c r="B85" s="23">
        <v>1.7</v>
      </c>
      <c r="C85" s="23" t="s">
        <v>171</v>
      </c>
      <c r="D85" s="23">
        <v>13.43</v>
      </c>
      <c r="E85" s="26">
        <v>44757</v>
      </c>
    </row>
    <row r="86" spans="1:5">
      <c r="A86" s="28">
        <v>54506106</v>
      </c>
      <c r="B86" s="23">
        <v>0.2</v>
      </c>
      <c r="C86" s="23" t="s">
        <v>207</v>
      </c>
      <c r="D86" s="23">
        <v>1</v>
      </c>
      <c r="E86" s="26">
        <v>44769</v>
      </c>
    </row>
    <row r="87" spans="1:5">
      <c r="A87" s="28">
        <v>54525187</v>
      </c>
      <c r="B87" s="23">
        <v>0.72</v>
      </c>
      <c r="C87" s="23" t="s">
        <v>208</v>
      </c>
      <c r="D87" s="23">
        <v>3</v>
      </c>
      <c r="E87" s="26">
        <v>44776</v>
      </c>
    </row>
    <row r="88" spans="1:5">
      <c r="A88" s="28">
        <v>54499075</v>
      </c>
      <c r="B88" s="23">
        <v>0.1</v>
      </c>
      <c r="C88" s="23" t="s">
        <v>209</v>
      </c>
      <c r="D88" s="23">
        <v>1</v>
      </c>
      <c r="E88" s="26">
        <v>44769</v>
      </c>
    </row>
    <row r="89" spans="1:5">
      <c r="A89" s="28">
        <v>18875297</v>
      </c>
      <c r="B89" s="23">
        <v>0.36</v>
      </c>
      <c r="C89" s="23" t="s">
        <v>238</v>
      </c>
      <c r="D89" s="23">
        <v>2.59</v>
      </c>
      <c r="E89" s="26">
        <v>44776</v>
      </c>
    </row>
    <row r="90" spans="1:5">
      <c r="A90" s="28">
        <v>18882092</v>
      </c>
      <c r="B90" s="23">
        <v>1.58</v>
      </c>
      <c r="C90" s="23" t="s">
        <v>239</v>
      </c>
      <c r="D90" s="23">
        <v>11.37</v>
      </c>
      <c r="E90" s="26">
        <v>44776</v>
      </c>
    </row>
    <row r="91" spans="1:5">
      <c r="A91" s="28">
        <v>18882578</v>
      </c>
      <c r="B91" s="23">
        <v>2.1800000000000002</v>
      </c>
      <c r="C91" s="23" t="s">
        <v>239</v>
      </c>
      <c r="D91" s="23">
        <v>15.67</v>
      </c>
      <c r="E91" s="26">
        <v>44776</v>
      </c>
    </row>
    <row r="92" spans="1:5">
      <c r="A92" s="28">
        <v>18882810</v>
      </c>
      <c r="B92" s="23">
        <v>0.54</v>
      </c>
      <c r="C92" s="23" t="s">
        <v>239</v>
      </c>
      <c r="D92" s="23">
        <v>3.88</v>
      </c>
      <c r="E92" s="26">
        <v>44776</v>
      </c>
    </row>
    <row r="93" spans="1:5">
      <c r="A93" s="28">
        <v>18886360</v>
      </c>
      <c r="B93" s="23">
        <v>0.73</v>
      </c>
      <c r="C93" s="23" t="s">
        <v>240</v>
      </c>
      <c r="D93" s="23">
        <v>5.25</v>
      </c>
      <c r="E93" s="26">
        <v>44776</v>
      </c>
    </row>
    <row r="94" spans="1:5">
      <c r="A94" s="28">
        <v>18887230</v>
      </c>
      <c r="B94" s="23">
        <v>0.16</v>
      </c>
      <c r="C94" s="23" t="s">
        <v>240</v>
      </c>
      <c r="D94" s="23">
        <v>1.1499999999999999</v>
      </c>
      <c r="E94" s="26">
        <v>44776</v>
      </c>
    </row>
    <row r="95" spans="1:5">
      <c r="A95" s="28">
        <v>18888592</v>
      </c>
      <c r="B95" s="23">
        <v>0.95</v>
      </c>
      <c r="C95" s="23" t="s">
        <v>240</v>
      </c>
      <c r="D95" s="23">
        <v>6.83</v>
      </c>
      <c r="E95" s="26">
        <v>44776</v>
      </c>
    </row>
    <row r="96" spans="1:5">
      <c r="A96" s="28">
        <v>18889352</v>
      </c>
      <c r="B96" s="23">
        <v>0.36</v>
      </c>
      <c r="C96" s="23" t="s">
        <v>242</v>
      </c>
      <c r="D96" s="23">
        <v>2.59</v>
      </c>
      <c r="E96" s="26">
        <v>44776</v>
      </c>
    </row>
    <row r="97" spans="1:5">
      <c r="A97" s="28">
        <v>18890598</v>
      </c>
      <c r="B97" s="23">
        <v>1.46</v>
      </c>
      <c r="C97" s="23" t="s">
        <v>242</v>
      </c>
      <c r="D97" s="23">
        <v>10.5</v>
      </c>
      <c r="E97" s="26">
        <v>44776</v>
      </c>
    </row>
    <row r="98" spans="1:5">
      <c r="A98" s="28">
        <v>18891853</v>
      </c>
      <c r="B98" s="23">
        <v>1.18</v>
      </c>
      <c r="C98" s="23" t="s">
        <v>242</v>
      </c>
      <c r="D98" s="23">
        <v>8.48</v>
      </c>
      <c r="E98" s="26">
        <v>44776</v>
      </c>
    </row>
    <row r="99" spans="1:5">
      <c r="A99" s="28">
        <v>18891645</v>
      </c>
      <c r="B99" s="23">
        <v>1.98</v>
      </c>
      <c r="C99" s="23" t="s">
        <v>242</v>
      </c>
      <c r="D99" s="23">
        <v>14.24</v>
      </c>
      <c r="E99" s="26">
        <v>44776</v>
      </c>
    </row>
    <row r="100" spans="1:5">
      <c r="A100" s="28">
        <v>18891228</v>
      </c>
      <c r="B100" s="23">
        <v>1.54</v>
      </c>
      <c r="C100" s="23" t="s">
        <v>242</v>
      </c>
      <c r="D100" s="23">
        <v>11.07</v>
      </c>
      <c r="E100" s="26">
        <v>44776</v>
      </c>
    </row>
    <row r="101" spans="1:5">
      <c r="A101" s="28">
        <v>18890602</v>
      </c>
      <c r="B101" s="23">
        <v>1.08</v>
      </c>
      <c r="C101" s="23" t="s">
        <v>244</v>
      </c>
      <c r="D101" s="23">
        <v>7.77</v>
      </c>
      <c r="E101" s="26">
        <v>44776</v>
      </c>
    </row>
    <row r="102" spans="1:5">
      <c r="A102" s="28">
        <v>18892233</v>
      </c>
      <c r="B102" s="23">
        <v>1.52</v>
      </c>
      <c r="C102" s="23" t="s">
        <v>244</v>
      </c>
      <c r="D102" s="23">
        <v>10.93</v>
      </c>
      <c r="E102" s="26">
        <v>44776</v>
      </c>
    </row>
    <row r="103" spans="1:5">
      <c r="A103" s="28">
        <v>18515705</v>
      </c>
      <c r="B103" s="23">
        <v>0.45</v>
      </c>
      <c r="C103" s="23" t="s">
        <v>244</v>
      </c>
      <c r="D103" s="23">
        <v>3.24</v>
      </c>
      <c r="E103" s="26">
        <v>44776</v>
      </c>
    </row>
    <row r="104" spans="1:5">
      <c r="A104" s="28">
        <v>18895705</v>
      </c>
      <c r="B104" s="23">
        <v>0.32</v>
      </c>
      <c r="C104" s="23" t="s">
        <v>244</v>
      </c>
      <c r="D104" s="23">
        <v>2.2999999999999998</v>
      </c>
      <c r="E104" s="26">
        <v>44776</v>
      </c>
    </row>
    <row r="105" spans="1:5">
      <c r="A105" s="28">
        <v>54537572</v>
      </c>
      <c r="B105" s="23">
        <v>0.9</v>
      </c>
      <c r="C105" s="23" t="s">
        <v>245</v>
      </c>
      <c r="D105" s="23">
        <v>3</v>
      </c>
      <c r="E105" s="26">
        <v>44776</v>
      </c>
    </row>
    <row r="106" spans="1:5">
      <c r="A106" s="28">
        <v>54537388</v>
      </c>
      <c r="B106" s="23">
        <v>0.94</v>
      </c>
      <c r="C106" s="23" t="s">
        <v>245</v>
      </c>
      <c r="D106" s="23">
        <v>3</v>
      </c>
      <c r="E106" s="26">
        <v>44776</v>
      </c>
    </row>
    <row r="107" spans="1:5">
      <c r="A107" s="28">
        <v>54539207</v>
      </c>
      <c r="B107" s="23">
        <v>0.5</v>
      </c>
      <c r="C107" s="23" t="s">
        <v>245</v>
      </c>
      <c r="D107" s="23">
        <v>2</v>
      </c>
      <c r="E107" s="26">
        <v>44776</v>
      </c>
    </row>
    <row r="108" spans="1:5">
      <c r="A108" s="28">
        <v>18895678</v>
      </c>
      <c r="B108" s="23">
        <v>0.09</v>
      </c>
      <c r="C108" s="23" t="s">
        <v>254</v>
      </c>
      <c r="D108" s="23">
        <v>0.65</v>
      </c>
      <c r="E108" s="26">
        <v>44776</v>
      </c>
    </row>
    <row r="109" spans="1:5">
      <c r="A109" s="28">
        <v>18897107</v>
      </c>
      <c r="B109" s="23">
        <v>0.7</v>
      </c>
      <c r="C109" s="23" t="s">
        <v>254</v>
      </c>
      <c r="D109" s="23">
        <v>5.03</v>
      </c>
      <c r="E109" s="26">
        <v>44776</v>
      </c>
    </row>
    <row r="110" spans="1:5">
      <c r="A110" s="28">
        <v>18897469</v>
      </c>
      <c r="B110" s="23">
        <v>0.46</v>
      </c>
      <c r="C110" s="23" t="s">
        <v>296</v>
      </c>
      <c r="D110" s="23">
        <v>3.31</v>
      </c>
      <c r="E110" s="26">
        <v>44785</v>
      </c>
    </row>
    <row r="111" spans="1:5">
      <c r="A111" s="28">
        <v>18898120</v>
      </c>
      <c r="B111" s="23">
        <v>0.77</v>
      </c>
      <c r="C111" s="23" t="s">
        <v>296</v>
      </c>
      <c r="D111" s="23">
        <v>5.54</v>
      </c>
      <c r="E111" s="26">
        <v>44785</v>
      </c>
    </row>
    <row r="112" spans="1:5">
      <c r="A112" s="28">
        <v>18897970</v>
      </c>
      <c r="B112" s="23">
        <v>0.77</v>
      </c>
      <c r="C112" s="23" t="s">
        <v>296</v>
      </c>
      <c r="D112" s="23">
        <v>5.54</v>
      </c>
      <c r="E112" s="26">
        <v>44785</v>
      </c>
    </row>
    <row r="113" spans="1:5">
      <c r="A113" s="28">
        <v>18898700</v>
      </c>
      <c r="B113" s="23">
        <v>0.84</v>
      </c>
      <c r="C113" s="23" t="s">
        <v>296</v>
      </c>
      <c r="D113" s="23">
        <v>6.04</v>
      </c>
      <c r="E113" s="26">
        <v>44785</v>
      </c>
    </row>
    <row r="114" spans="1:5">
      <c r="A114" s="28">
        <v>18901854</v>
      </c>
      <c r="B114" s="23">
        <v>1.46</v>
      </c>
      <c r="C114" s="23" t="s">
        <v>296</v>
      </c>
      <c r="D114" s="23">
        <v>10.5</v>
      </c>
      <c r="E114" s="26">
        <v>44785</v>
      </c>
    </row>
    <row r="115" spans="1:5">
      <c r="A115" s="28">
        <v>18902702</v>
      </c>
      <c r="B115" s="23">
        <v>0.41</v>
      </c>
      <c r="C115" s="23" t="s">
        <v>296</v>
      </c>
      <c r="D115" s="23">
        <v>2.95</v>
      </c>
      <c r="E115" s="26">
        <v>44785</v>
      </c>
    </row>
    <row r="116" spans="1:5">
      <c r="A116" s="28">
        <v>18903410</v>
      </c>
      <c r="B116" s="23">
        <v>0.14000000000000001</v>
      </c>
      <c r="C116" s="23" t="s">
        <v>296</v>
      </c>
      <c r="D116" s="23">
        <v>1.01</v>
      </c>
      <c r="E116" s="26">
        <v>44785</v>
      </c>
    </row>
    <row r="117" spans="1:5">
      <c r="A117" s="28">
        <v>18905916</v>
      </c>
      <c r="B117" s="23">
        <v>2.06</v>
      </c>
      <c r="C117" s="23" t="s">
        <v>297</v>
      </c>
      <c r="D117" s="23">
        <v>14.81</v>
      </c>
      <c r="E117" s="26">
        <v>44785</v>
      </c>
    </row>
    <row r="118" spans="1:5">
      <c r="A118" s="28">
        <v>18905204</v>
      </c>
      <c r="B118" s="23">
        <v>1.96</v>
      </c>
      <c r="C118" s="23" t="s">
        <v>297</v>
      </c>
      <c r="D118" s="23">
        <v>14.09</v>
      </c>
      <c r="E118" s="26">
        <v>44785</v>
      </c>
    </row>
    <row r="119" spans="1:5">
      <c r="A119" s="28">
        <v>18905592</v>
      </c>
      <c r="B119" s="23">
        <v>0.86</v>
      </c>
      <c r="C119" s="23" t="s">
        <v>297</v>
      </c>
      <c r="D119" s="23">
        <v>6.18</v>
      </c>
      <c r="E119" s="26">
        <v>44785</v>
      </c>
    </row>
    <row r="120" spans="1:5">
      <c r="A120" s="28">
        <v>18906071</v>
      </c>
      <c r="B120" s="23">
        <v>0.68</v>
      </c>
      <c r="C120" s="23" t="s">
        <v>297</v>
      </c>
      <c r="D120" s="23">
        <v>4.8899999999999997</v>
      </c>
      <c r="E120" s="26">
        <v>44785</v>
      </c>
    </row>
    <row r="121" spans="1:5">
      <c r="A121" s="28">
        <v>18519229</v>
      </c>
      <c r="B121" s="23">
        <v>0.05</v>
      </c>
      <c r="C121" s="23" t="s">
        <v>297</v>
      </c>
      <c r="D121" s="23">
        <v>0.36</v>
      </c>
      <c r="E121" s="26">
        <v>44785</v>
      </c>
    </row>
    <row r="122" spans="1:5">
      <c r="A122" s="28">
        <v>18519455</v>
      </c>
      <c r="B122" s="23">
        <v>0.44</v>
      </c>
      <c r="C122" s="23" t="s">
        <v>297</v>
      </c>
      <c r="D122" s="23">
        <v>3.16</v>
      </c>
      <c r="E122" s="26">
        <v>44785</v>
      </c>
    </row>
    <row r="123" spans="1:5">
      <c r="A123" s="28">
        <v>18519598</v>
      </c>
      <c r="B123" s="23">
        <v>0.57999999999999996</v>
      </c>
      <c r="C123" s="23" t="s">
        <v>297</v>
      </c>
      <c r="D123" s="23">
        <v>4.17</v>
      </c>
      <c r="E123" s="26">
        <v>44785</v>
      </c>
    </row>
    <row r="124" spans="1:5">
      <c r="A124" s="28">
        <v>18519658</v>
      </c>
      <c r="B124" s="23">
        <v>0.52</v>
      </c>
      <c r="C124" s="23" t="s">
        <v>297</v>
      </c>
      <c r="D124" s="23">
        <v>3.74</v>
      </c>
      <c r="E124" s="26">
        <v>44785</v>
      </c>
    </row>
    <row r="125" spans="1:5">
      <c r="A125" s="28">
        <v>18519686</v>
      </c>
      <c r="B125" s="23">
        <v>1.08</v>
      </c>
      <c r="C125" s="23" t="s">
        <v>297</v>
      </c>
      <c r="D125" s="23">
        <v>7.77</v>
      </c>
      <c r="E125" s="26">
        <v>44785</v>
      </c>
    </row>
    <row r="126" spans="1:5">
      <c r="A126" s="28">
        <v>18519638</v>
      </c>
      <c r="B126" s="23">
        <v>0.96</v>
      </c>
      <c r="C126" s="23" t="s">
        <v>297</v>
      </c>
      <c r="D126" s="23">
        <v>6.9</v>
      </c>
      <c r="E126" s="26">
        <v>44785</v>
      </c>
    </row>
    <row r="127" spans="1:5">
      <c r="A127" s="28">
        <v>18519564</v>
      </c>
      <c r="B127" s="23">
        <v>0.52</v>
      </c>
      <c r="C127" s="23" t="s">
        <v>297</v>
      </c>
      <c r="D127" s="23">
        <v>3.74</v>
      </c>
      <c r="E127" s="26">
        <v>44785</v>
      </c>
    </row>
    <row r="128" spans="1:5">
      <c r="A128" s="28">
        <v>54602465</v>
      </c>
      <c r="B128" s="23">
        <v>0.8</v>
      </c>
      <c r="C128" s="23" t="s">
        <v>299</v>
      </c>
      <c r="D128" s="23">
        <v>2</v>
      </c>
      <c r="E128" s="26">
        <v>44785</v>
      </c>
    </row>
    <row r="129" spans="1:5">
      <c r="A129" s="28">
        <v>54618848</v>
      </c>
      <c r="B129" s="23">
        <v>0.5</v>
      </c>
      <c r="C129" s="23" t="s">
        <v>299</v>
      </c>
      <c r="D129" s="23">
        <v>1</v>
      </c>
      <c r="E129" s="26">
        <v>44785</v>
      </c>
    </row>
    <row r="130" spans="1:5">
      <c r="A130" s="28">
        <v>54616310</v>
      </c>
      <c r="B130" s="23">
        <v>1.4</v>
      </c>
      <c r="C130" s="23" t="s">
        <v>299</v>
      </c>
      <c r="D130" s="23">
        <v>2</v>
      </c>
      <c r="E130" s="26">
        <v>44785</v>
      </c>
    </row>
    <row r="131" spans="1:5">
      <c r="A131" s="28">
        <v>54611518</v>
      </c>
      <c r="B131" s="23">
        <v>1.45</v>
      </c>
      <c r="C131" s="23" t="s">
        <v>300</v>
      </c>
      <c r="D131" s="23">
        <v>4</v>
      </c>
      <c r="E131" s="26">
        <v>44785</v>
      </c>
    </row>
    <row r="132" spans="1:5">
      <c r="A132" s="28">
        <v>54612466</v>
      </c>
      <c r="B132" s="23">
        <v>0.62</v>
      </c>
      <c r="C132" s="23" t="s">
        <v>300</v>
      </c>
      <c r="D132" s="23">
        <v>2</v>
      </c>
      <c r="E132" s="26">
        <v>44785</v>
      </c>
    </row>
    <row r="133" spans="1:5">
      <c r="A133" s="28">
        <v>54598777</v>
      </c>
      <c r="B133" s="23">
        <v>0.6</v>
      </c>
      <c r="C133" s="23" t="s">
        <v>300</v>
      </c>
      <c r="D133" s="23">
        <v>2</v>
      </c>
      <c r="E133" s="26">
        <v>44785</v>
      </c>
    </row>
    <row r="134" spans="1:5">
      <c r="A134" s="28">
        <v>54621054</v>
      </c>
      <c r="B134" s="23">
        <v>1.4</v>
      </c>
      <c r="C134" s="23" t="s">
        <v>301</v>
      </c>
      <c r="D134" s="23">
        <v>6</v>
      </c>
      <c r="E134" s="26">
        <v>44790</v>
      </c>
    </row>
    <row r="135" spans="1:5">
      <c r="A135" s="28" t="s">
        <v>316</v>
      </c>
      <c r="B135" s="23"/>
      <c r="C135" s="23" t="s">
        <v>315</v>
      </c>
      <c r="D135" s="23">
        <v>12.82</v>
      </c>
      <c r="E135" s="26">
        <v>44785</v>
      </c>
    </row>
    <row r="136" spans="1:5">
      <c r="A136" s="28">
        <v>18906269</v>
      </c>
      <c r="B136" s="23">
        <v>0.77</v>
      </c>
      <c r="C136" s="23" t="s">
        <v>330</v>
      </c>
      <c r="D136" s="23">
        <v>5.54</v>
      </c>
      <c r="E136" s="26">
        <v>44792</v>
      </c>
    </row>
    <row r="137" spans="1:5">
      <c r="A137" s="28">
        <v>18906988</v>
      </c>
      <c r="B137" s="23">
        <v>0.32</v>
      </c>
      <c r="C137" s="23" t="s">
        <v>330</v>
      </c>
      <c r="D137" s="23">
        <v>2.2999999999999998</v>
      </c>
      <c r="E137" s="26">
        <v>44792</v>
      </c>
    </row>
    <row r="138" spans="1:5">
      <c r="A138" s="28">
        <v>18908142</v>
      </c>
      <c r="B138" s="23">
        <v>15.6</v>
      </c>
      <c r="C138" s="23" t="s">
        <v>330</v>
      </c>
      <c r="D138" s="23">
        <v>112.16</v>
      </c>
      <c r="E138" s="26">
        <v>44792</v>
      </c>
    </row>
    <row r="139" spans="1:5">
      <c r="A139" s="28">
        <v>18908599</v>
      </c>
      <c r="B139" s="23">
        <v>2.06</v>
      </c>
      <c r="C139" s="23" t="s">
        <v>330</v>
      </c>
      <c r="D139" s="23">
        <v>14.81</v>
      </c>
      <c r="E139" s="26">
        <v>44792</v>
      </c>
    </row>
    <row r="140" spans="1:5">
      <c r="A140" s="28">
        <v>18908378</v>
      </c>
      <c r="B140" s="23">
        <v>0.92</v>
      </c>
      <c r="C140" s="23" t="s">
        <v>330</v>
      </c>
      <c r="D140" s="23">
        <v>6.61</v>
      </c>
      <c r="E140" s="26">
        <v>44792</v>
      </c>
    </row>
    <row r="141" spans="1:5">
      <c r="A141" s="28">
        <v>18910234</v>
      </c>
      <c r="B141" s="23">
        <v>0.68</v>
      </c>
      <c r="C141" s="23" t="s">
        <v>330</v>
      </c>
      <c r="D141" s="23">
        <v>4.8899999999999997</v>
      </c>
      <c r="E141" s="26">
        <v>44792</v>
      </c>
    </row>
    <row r="142" spans="1:5">
      <c r="A142" s="28">
        <v>18910631</v>
      </c>
      <c r="B142" s="23">
        <v>1.48</v>
      </c>
      <c r="C142" s="23" t="s">
        <v>330</v>
      </c>
      <c r="D142" s="23">
        <v>10.64</v>
      </c>
      <c r="E142" s="26">
        <v>44792</v>
      </c>
    </row>
    <row r="143" spans="1:5">
      <c r="A143" s="28">
        <v>54619347</v>
      </c>
      <c r="B143" s="23">
        <v>0.5</v>
      </c>
      <c r="C143" s="23" t="s">
        <v>331</v>
      </c>
      <c r="D143" s="23">
        <v>2</v>
      </c>
      <c r="E143" s="26">
        <v>44792</v>
      </c>
    </row>
    <row r="144" spans="1:5">
      <c r="A144" s="28">
        <v>54622931</v>
      </c>
      <c r="B144" s="23">
        <v>0.2</v>
      </c>
      <c r="C144" s="23" t="s">
        <v>331</v>
      </c>
      <c r="D144" s="23">
        <v>1</v>
      </c>
      <c r="E144" s="26">
        <v>44792</v>
      </c>
    </row>
    <row r="145" spans="1:5">
      <c r="A145" s="28">
        <v>54620922</v>
      </c>
      <c r="B145" s="23">
        <v>1.2</v>
      </c>
      <c r="C145" s="23" t="s">
        <v>331</v>
      </c>
      <c r="D145" s="23">
        <v>3</v>
      </c>
      <c r="E145" s="26">
        <v>44792</v>
      </c>
    </row>
    <row r="146" spans="1:5">
      <c r="A146" s="28">
        <v>18914018</v>
      </c>
      <c r="B146" s="23">
        <v>0.42</v>
      </c>
      <c r="C146" s="23" t="s">
        <v>341</v>
      </c>
      <c r="D146" s="23">
        <v>3.02</v>
      </c>
      <c r="E146" s="26">
        <v>44792</v>
      </c>
    </row>
    <row r="147" spans="1:5">
      <c r="A147" s="28">
        <v>18915119</v>
      </c>
      <c r="B147" s="23">
        <v>0.62</v>
      </c>
      <c r="C147" s="23" t="s">
        <v>341</v>
      </c>
      <c r="D147" s="23">
        <v>4.46</v>
      </c>
      <c r="E147" s="26">
        <v>44792</v>
      </c>
    </row>
    <row r="148" spans="1:5">
      <c r="A148" s="28">
        <v>18914645</v>
      </c>
      <c r="B148" s="23">
        <v>0.09</v>
      </c>
      <c r="C148" s="23" t="s">
        <v>341</v>
      </c>
      <c r="D148" s="23">
        <v>0.65</v>
      </c>
      <c r="E148" s="26">
        <v>44792</v>
      </c>
    </row>
    <row r="149" spans="1:5">
      <c r="A149" s="28">
        <v>54660246</v>
      </c>
      <c r="B149" s="23">
        <v>1.54</v>
      </c>
      <c r="C149" s="23" t="s">
        <v>345</v>
      </c>
      <c r="D149" s="23">
        <v>3</v>
      </c>
      <c r="E149" s="26">
        <v>44792</v>
      </c>
    </row>
    <row r="150" spans="1:5">
      <c r="A150" s="28">
        <v>54649241</v>
      </c>
      <c r="B150" s="23">
        <v>2.7</v>
      </c>
      <c r="C150" s="23" t="s">
        <v>346</v>
      </c>
      <c r="D150" s="23">
        <v>7</v>
      </c>
      <c r="E150" s="26">
        <v>44792</v>
      </c>
    </row>
    <row r="151" spans="1:5">
      <c r="A151" s="28">
        <v>54648980</v>
      </c>
      <c r="B151" s="23">
        <v>2.2999999999999998</v>
      </c>
      <c r="C151" s="23" t="s">
        <v>346</v>
      </c>
      <c r="D151" s="23">
        <v>6</v>
      </c>
      <c r="E151" s="26">
        <v>44792</v>
      </c>
    </row>
    <row r="152" spans="1:5">
      <c r="A152" s="28">
        <v>54663923</v>
      </c>
      <c r="B152" s="23">
        <v>0.7</v>
      </c>
      <c r="C152" s="23" t="s">
        <v>346</v>
      </c>
      <c r="D152" s="23">
        <v>2</v>
      </c>
      <c r="E152" s="26">
        <v>44792</v>
      </c>
    </row>
    <row r="153" spans="1:5">
      <c r="A153" s="28">
        <v>54664790</v>
      </c>
      <c r="B153" s="23">
        <v>1.2</v>
      </c>
      <c r="C153" s="23" t="s">
        <v>346</v>
      </c>
      <c r="D153" s="23">
        <v>3</v>
      </c>
      <c r="E153" s="26">
        <v>44792</v>
      </c>
    </row>
    <row r="154" spans="1:5">
      <c r="A154" s="28">
        <v>18915439</v>
      </c>
      <c r="B154" s="23">
        <v>0.82</v>
      </c>
      <c r="C154" s="23" t="s">
        <v>368</v>
      </c>
      <c r="D154" s="23">
        <v>5.9</v>
      </c>
      <c r="E154" s="26">
        <v>44799</v>
      </c>
    </row>
    <row r="155" spans="1:5">
      <c r="A155" s="28">
        <v>18916170</v>
      </c>
      <c r="B155" s="23">
        <v>0.26</v>
      </c>
      <c r="C155" s="23" t="s">
        <v>368</v>
      </c>
      <c r="D155" s="23">
        <v>1.87</v>
      </c>
      <c r="E155" s="26">
        <v>44799</v>
      </c>
    </row>
    <row r="156" spans="1:5">
      <c r="A156" s="28">
        <v>18521025</v>
      </c>
      <c r="B156" s="23">
        <v>0.28000000000000003</v>
      </c>
      <c r="C156" s="23" t="s">
        <v>368</v>
      </c>
      <c r="D156" s="23">
        <v>2.0099999999999998</v>
      </c>
      <c r="E156" s="26">
        <v>44799</v>
      </c>
    </row>
    <row r="157" spans="1:5">
      <c r="A157" s="28">
        <v>18918002</v>
      </c>
      <c r="B157" s="23">
        <v>0.05</v>
      </c>
      <c r="C157" s="23" t="s">
        <v>368</v>
      </c>
      <c r="D157" s="23">
        <v>0.36</v>
      </c>
      <c r="E157" s="26">
        <v>44799</v>
      </c>
    </row>
    <row r="158" spans="1:5">
      <c r="A158" s="28">
        <v>18920302</v>
      </c>
      <c r="B158" s="23">
        <v>3.02</v>
      </c>
      <c r="C158" s="23" t="s">
        <v>385</v>
      </c>
      <c r="D158" s="23">
        <v>21.71</v>
      </c>
      <c r="E158" s="26">
        <v>44799</v>
      </c>
    </row>
    <row r="159" spans="1:5">
      <c r="A159" s="28">
        <v>18921165</v>
      </c>
      <c r="B159" s="23">
        <v>0.15</v>
      </c>
      <c r="C159" s="23" t="s">
        <v>385</v>
      </c>
      <c r="D159" s="23">
        <v>1.08</v>
      </c>
      <c r="E159" s="26">
        <v>44799</v>
      </c>
    </row>
    <row r="160" spans="1:5">
      <c r="A160" s="28">
        <v>54675411</v>
      </c>
      <c r="B160" s="23">
        <v>2.7</v>
      </c>
      <c r="C160" s="23" t="s">
        <v>398</v>
      </c>
      <c r="D160" s="23">
        <v>10</v>
      </c>
      <c r="E160" s="26">
        <v>44799</v>
      </c>
    </row>
    <row r="161" spans="1:5">
      <c r="A161" s="28">
        <v>54672538</v>
      </c>
      <c r="B161" s="23">
        <v>0.8</v>
      </c>
      <c r="C161" s="23" t="s">
        <v>398</v>
      </c>
      <c r="D161" s="23">
        <v>3</v>
      </c>
      <c r="E161" s="26">
        <v>44799</v>
      </c>
    </row>
    <row r="162" spans="1:5">
      <c r="A162" s="28">
        <v>54668334</v>
      </c>
      <c r="B162" s="23">
        <v>1.08</v>
      </c>
      <c r="C162" s="23" t="s">
        <v>398</v>
      </c>
      <c r="D162" s="23">
        <v>4</v>
      </c>
      <c r="E162" s="26">
        <v>44799</v>
      </c>
    </row>
    <row r="163" spans="1:5">
      <c r="A163" s="28">
        <v>54671594</v>
      </c>
      <c r="B163" s="23">
        <v>1.1200000000000001</v>
      </c>
      <c r="C163" s="23" t="s">
        <v>398</v>
      </c>
      <c r="D163" s="23">
        <v>4</v>
      </c>
      <c r="E163" s="26">
        <v>44799</v>
      </c>
    </row>
    <row r="164" spans="1:5">
      <c r="A164" s="28">
        <v>54674174</v>
      </c>
      <c r="B164" s="23">
        <v>1.3</v>
      </c>
      <c r="C164" s="23" t="s">
        <v>398</v>
      </c>
      <c r="D164" s="23">
        <v>5</v>
      </c>
      <c r="E164" s="26">
        <v>44799</v>
      </c>
    </row>
    <row r="165" spans="1:5">
      <c r="A165" s="28">
        <v>54678103</v>
      </c>
      <c r="B165" s="23">
        <v>0.4</v>
      </c>
      <c r="C165" s="23" t="s">
        <v>398</v>
      </c>
      <c r="D165" s="23">
        <v>2</v>
      </c>
      <c r="E165" s="26">
        <v>44799</v>
      </c>
    </row>
    <row r="166" spans="1:5">
      <c r="A166" s="28">
        <v>54678038</v>
      </c>
      <c r="B166" s="23">
        <v>0.9</v>
      </c>
      <c r="C166" s="23" t="s">
        <v>398</v>
      </c>
      <c r="D166" s="23">
        <v>3</v>
      </c>
      <c r="E166" s="26">
        <v>44799</v>
      </c>
    </row>
    <row r="167" spans="1:5">
      <c r="A167" s="28">
        <v>54674019</v>
      </c>
      <c r="B167" s="23">
        <v>0.9</v>
      </c>
      <c r="C167" s="23" t="s">
        <v>398</v>
      </c>
      <c r="D167" s="23">
        <v>3</v>
      </c>
      <c r="E167" s="26">
        <v>44799</v>
      </c>
    </row>
    <row r="168" spans="1:5">
      <c r="A168" s="28">
        <v>54675615</v>
      </c>
      <c r="B168" s="23">
        <v>1.64</v>
      </c>
      <c r="C168" s="23" t="s">
        <v>398</v>
      </c>
      <c r="D168" s="23">
        <v>7</v>
      </c>
      <c r="E168" s="26">
        <v>44799</v>
      </c>
    </row>
    <row r="169" spans="1:5">
      <c r="A169" s="28">
        <v>54677866</v>
      </c>
      <c r="B169" s="23">
        <v>0.3</v>
      </c>
      <c r="C169" s="23" t="s">
        <v>398</v>
      </c>
      <c r="D169" s="23">
        <v>2</v>
      </c>
      <c r="E169" s="26">
        <v>44799</v>
      </c>
    </row>
    <row r="170" spans="1:5">
      <c r="A170" s="28">
        <v>54677196</v>
      </c>
      <c r="B170" s="23">
        <v>0.4</v>
      </c>
      <c r="C170" s="23" t="s">
        <v>398</v>
      </c>
      <c r="D170" s="23">
        <v>2</v>
      </c>
      <c r="E170" s="26">
        <v>44799</v>
      </c>
    </row>
    <row r="171" spans="1:5">
      <c r="A171" s="28">
        <v>54677267</v>
      </c>
      <c r="B171" s="23">
        <v>0.5</v>
      </c>
      <c r="C171" s="23" t="s">
        <v>398</v>
      </c>
      <c r="D171" s="23">
        <v>2</v>
      </c>
      <c r="E171" s="26">
        <v>44799</v>
      </c>
    </row>
    <row r="172" spans="1:5">
      <c r="A172" s="28">
        <v>54673650</v>
      </c>
      <c r="B172" s="23">
        <v>1.4</v>
      </c>
      <c r="C172" s="23" t="s">
        <v>398</v>
      </c>
      <c r="D172" s="23">
        <v>5</v>
      </c>
      <c r="E172" s="26">
        <v>44799</v>
      </c>
    </row>
    <row r="173" spans="1:5">
      <c r="A173" s="28">
        <v>18916595</v>
      </c>
      <c r="B173" s="23">
        <v>0.7</v>
      </c>
      <c r="C173" s="23" t="s">
        <v>400</v>
      </c>
      <c r="D173" s="23">
        <v>5.03</v>
      </c>
      <c r="E173" s="26">
        <v>44799</v>
      </c>
    </row>
    <row r="174" spans="1:5">
      <c r="A174" s="28">
        <v>18923814</v>
      </c>
      <c r="B174" s="23">
        <v>0.94</v>
      </c>
      <c r="C174" s="23" t="s">
        <v>400</v>
      </c>
      <c r="D174" s="23">
        <v>6.76</v>
      </c>
      <c r="E174" s="26">
        <v>44799</v>
      </c>
    </row>
    <row r="175" spans="1:5">
      <c r="A175" s="28" t="s">
        <v>399</v>
      </c>
      <c r="B175" s="23">
        <v>0.76</v>
      </c>
      <c r="C175" s="23" t="s">
        <v>400</v>
      </c>
      <c r="D175" s="23">
        <v>5.46</v>
      </c>
      <c r="E175" s="26">
        <v>44799</v>
      </c>
    </row>
    <row r="176" spans="1:5">
      <c r="A176" s="28">
        <v>18925883</v>
      </c>
      <c r="B176" s="23">
        <v>0.64</v>
      </c>
      <c r="C176" s="23" t="s">
        <v>400</v>
      </c>
      <c r="D176" s="23">
        <v>4.5999999999999996</v>
      </c>
      <c r="E176" s="26">
        <v>44799</v>
      </c>
    </row>
    <row r="177" spans="1:5">
      <c r="A177" s="28">
        <v>18925566</v>
      </c>
      <c r="B177" s="23">
        <v>3.24</v>
      </c>
      <c r="C177" s="23" t="s">
        <v>401</v>
      </c>
      <c r="D177" s="23">
        <v>24.73</v>
      </c>
      <c r="E177" s="26">
        <v>44799</v>
      </c>
    </row>
    <row r="178" spans="1:5">
      <c r="A178" s="28">
        <v>18926248</v>
      </c>
      <c r="B178" s="23">
        <v>0.14000000000000001</v>
      </c>
      <c r="C178" s="23" t="s">
        <v>401</v>
      </c>
      <c r="D178" s="23">
        <v>1.01</v>
      </c>
      <c r="E178" s="26">
        <v>44799</v>
      </c>
    </row>
    <row r="179" spans="1:5">
      <c r="A179" s="28">
        <v>18927043</v>
      </c>
      <c r="B179" s="23">
        <v>2.14</v>
      </c>
      <c r="C179" s="23" t="s">
        <v>401</v>
      </c>
      <c r="D179" s="23">
        <v>15.39</v>
      </c>
      <c r="E179" s="26">
        <v>44799</v>
      </c>
    </row>
    <row r="180" spans="1:5">
      <c r="A180" s="28">
        <v>18927623</v>
      </c>
      <c r="B180" s="23">
        <v>0.13</v>
      </c>
      <c r="C180" s="23" t="s">
        <v>401</v>
      </c>
      <c r="D180" s="23">
        <v>0.93</v>
      </c>
      <c r="E180" s="26">
        <v>44799</v>
      </c>
    </row>
    <row r="181" spans="1:5">
      <c r="A181" s="28">
        <v>18927345</v>
      </c>
      <c r="B181" s="23">
        <v>0.05</v>
      </c>
      <c r="C181" s="23" t="s">
        <v>401</v>
      </c>
      <c r="D181" s="23">
        <v>0.36</v>
      </c>
      <c r="E181" s="26">
        <v>44799</v>
      </c>
    </row>
    <row r="182" spans="1:5">
      <c r="A182" s="28">
        <v>18929023</v>
      </c>
      <c r="B182" s="23">
        <v>0.5</v>
      </c>
      <c r="C182" s="23" t="s">
        <v>401</v>
      </c>
      <c r="D182" s="23">
        <v>3.6</v>
      </c>
      <c r="E182" s="26">
        <v>44799</v>
      </c>
    </row>
    <row r="183" spans="1:5">
      <c r="A183" s="28">
        <v>54681037</v>
      </c>
      <c r="B183" s="23">
        <v>1.3</v>
      </c>
      <c r="C183" s="23" t="s">
        <v>402</v>
      </c>
      <c r="D183" s="23">
        <v>3</v>
      </c>
      <c r="E183" s="26">
        <v>44799</v>
      </c>
    </row>
    <row r="184" spans="1:5">
      <c r="A184" s="28">
        <v>54676446</v>
      </c>
      <c r="B184" s="23">
        <v>2.34</v>
      </c>
      <c r="C184" s="23" t="s">
        <v>402</v>
      </c>
      <c r="D184" s="23">
        <v>6</v>
      </c>
      <c r="E184" s="26">
        <v>44799</v>
      </c>
    </row>
    <row r="185" spans="1:5">
      <c r="A185" s="28">
        <v>54680382</v>
      </c>
      <c r="B185" s="23">
        <v>5.0999999999999996</v>
      </c>
      <c r="C185" s="23" t="s">
        <v>402</v>
      </c>
      <c r="D185" s="23">
        <v>12</v>
      </c>
      <c r="E185" s="26">
        <v>44799</v>
      </c>
    </row>
    <row r="186" spans="1:5">
      <c r="A186" s="28">
        <v>54673580</v>
      </c>
      <c r="B186" s="23">
        <v>2.42</v>
      </c>
      <c r="C186" s="23" t="s">
        <v>402</v>
      </c>
      <c r="D186" s="23">
        <v>6</v>
      </c>
      <c r="E186" s="26">
        <v>44799</v>
      </c>
    </row>
    <row r="187" spans="1:5">
      <c r="A187" s="28">
        <v>18929982</v>
      </c>
      <c r="B187" s="23">
        <v>0.82</v>
      </c>
      <c r="C187" s="23" t="s">
        <v>403</v>
      </c>
      <c r="D187" s="23">
        <v>6</v>
      </c>
      <c r="E187" s="26">
        <v>44804</v>
      </c>
    </row>
    <row r="188" spans="1:5">
      <c r="A188" s="28">
        <v>18931740</v>
      </c>
      <c r="B188" s="23">
        <v>0.54</v>
      </c>
      <c r="C188" s="23" t="s">
        <v>419</v>
      </c>
      <c r="D188" s="23">
        <v>3.88</v>
      </c>
      <c r="E188" s="26">
        <v>44804</v>
      </c>
    </row>
    <row r="189" spans="1:5">
      <c r="A189" s="28">
        <v>18932054</v>
      </c>
      <c r="B189" s="23">
        <v>0.05</v>
      </c>
      <c r="C189" s="23" t="s">
        <v>419</v>
      </c>
      <c r="D189" s="23">
        <v>0.36</v>
      </c>
      <c r="E189" s="26">
        <v>44804</v>
      </c>
    </row>
    <row r="190" spans="1:5">
      <c r="A190" s="28">
        <v>18932241</v>
      </c>
      <c r="B190" s="23">
        <v>1.06</v>
      </c>
      <c r="C190" s="23" t="s">
        <v>419</v>
      </c>
      <c r="D190" s="23">
        <v>7.62</v>
      </c>
      <c r="E190" s="26">
        <v>44804</v>
      </c>
    </row>
    <row r="191" spans="1:5">
      <c r="A191" s="28">
        <v>18932142</v>
      </c>
      <c r="B191" s="23">
        <v>0.96</v>
      </c>
      <c r="C191" s="23" t="s">
        <v>419</v>
      </c>
      <c r="D191" s="23">
        <v>6.9</v>
      </c>
      <c r="E191" s="26">
        <v>44804</v>
      </c>
    </row>
    <row r="192" spans="1:5">
      <c r="A192" s="28">
        <v>18933550</v>
      </c>
      <c r="B192" s="23">
        <v>1.35</v>
      </c>
      <c r="C192" s="23" t="s">
        <v>419</v>
      </c>
      <c r="D192" s="23">
        <v>9.7100000000000009</v>
      </c>
      <c r="E192" s="26">
        <v>44804</v>
      </c>
    </row>
    <row r="193" spans="1:5">
      <c r="A193" s="28">
        <v>18933323</v>
      </c>
      <c r="B193" s="23">
        <v>0.08</v>
      </c>
      <c r="C193" s="23" t="s">
        <v>419</v>
      </c>
      <c r="D193" s="23">
        <v>0.57999999999999996</v>
      </c>
      <c r="E193" s="26">
        <v>44804</v>
      </c>
    </row>
    <row r="194" spans="1:5">
      <c r="A194" s="28">
        <v>54697237</v>
      </c>
      <c r="B194" s="23">
        <v>2.9</v>
      </c>
      <c r="C194" s="23" t="s">
        <v>420</v>
      </c>
      <c r="D194" s="23">
        <v>10</v>
      </c>
      <c r="E194" s="26">
        <v>44804</v>
      </c>
    </row>
    <row r="195" spans="1:5">
      <c r="A195" s="28">
        <v>54698651</v>
      </c>
      <c r="B195" s="23">
        <v>0.3</v>
      </c>
      <c r="C195" s="23" t="s">
        <v>420</v>
      </c>
      <c r="D195" s="23">
        <v>2</v>
      </c>
      <c r="E195" s="26">
        <v>44804</v>
      </c>
    </row>
    <row r="196" spans="1:5">
      <c r="A196" s="28">
        <v>54702881</v>
      </c>
      <c r="B196" s="23">
        <v>0.9</v>
      </c>
      <c r="C196" s="23" t="s">
        <v>420</v>
      </c>
      <c r="D196" s="23">
        <v>4</v>
      </c>
      <c r="E196" s="26">
        <v>44804</v>
      </c>
    </row>
    <row r="197" spans="1:5">
      <c r="A197" s="28">
        <v>54701420</v>
      </c>
      <c r="B197" s="23">
        <v>0.7</v>
      </c>
      <c r="C197" s="23" t="s">
        <v>420</v>
      </c>
      <c r="D197" s="23">
        <v>3</v>
      </c>
      <c r="E197" s="26">
        <v>44804</v>
      </c>
    </row>
    <row r="198" spans="1:5">
      <c r="A198" s="28">
        <v>54698431</v>
      </c>
      <c r="B198" s="23">
        <v>0.6</v>
      </c>
      <c r="C198" s="23" t="s">
        <v>420</v>
      </c>
      <c r="D198" s="23">
        <v>2</v>
      </c>
      <c r="E198" s="26">
        <v>44804</v>
      </c>
    </row>
    <row r="199" spans="1:5">
      <c r="A199" s="28">
        <v>54701092</v>
      </c>
      <c r="B199" s="23">
        <v>0.7</v>
      </c>
      <c r="C199" s="23" t="s">
        <v>420</v>
      </c>
      <c r="D199" s="23">
        <v>3</v>
      </c>
      <c r="E199" s="26">
        <v>44804</v>
      </c>
    </row>
    <row r="200" spans="1:5">
      <c r="A200" s="28">
        <v>54699621</v>
      </c>
      <c r="B200" s="23">
        <v>0.3</v>
      </c>
      <c r="C200" s="23" t="s">
        <v>420</v>
      </c>
      <c r="D200" s="23">
        <v>2</v>
      </c>
      <c r="E200" s="26">
        <v>44804</v>
      </c>
    </row>
    <row r="201" spans="1:5">
      <c r="A201" s="28">
        <v>18933359</v>
      </c>
      <c r="B201" s="23">
        <v>0.16</v>
      </c>
      <c r="C201" s="23" t="s">
        <v>447</v>
      </c>
      <c r="D201" s="23">
        <v>1.1499999999999999</v>
      </c>
      <c r="E201" s="26">
        <v>44807</v>
      </c>
    </row>
    <row r="202" spans="1:5">
      <c r="A202" s="28">
        <v>18934372</v>
      </c>
      <c r="B202" s="23">
        <v>0.41</v>
      </c>
      <c r="C202" s="23" t="s">
        <v>447</v>
      </c>
      <c r="D202" s="23">
        <v>2.95</v>
      </c>
      <c r="E202" s="26">
        <v>44807</v>
      </c>
    </row>
    <row r="203" spans="1:5">
      <c r="A203" s="28">
        <v>18934549</v>
      </c>
      <c r="B203" s="23">
        <v>0.14000000000000001</v>
      </c>
      <c r="C203" s="23" t="s">
        <v>447</v>
      </c>
      <c r="D203" s="23">
        <v>1.01</v>
      </c>
      <c r="E203" s="26">
        <v>44807</v>
      </c>
    </row>
    <row r="204" spans="1:5">
      <c r="A204" s="28">
        <v>18936301</v>
      </c>
      <c r="B204" s="23">
        <v>0.86</v>
      </c>
      <c r="C204" s="23" t="s">
        <v>447</v>
      </c>
      <c r="D204" s="23">
        <v>6.18</v>
      </c>
      <c r="E204" s="26">
        <v>44807</v>
      </c>
    </row>
    <row r="205" spans="1:5">
      <c r="A205" s="28">
        <v>18936372</v>
      </c>
      <c r="B205" s="23">
        <v>1.04</v>
      </c>
      <c r="C205" s="23" t="s">
        <v>447</v>
      </c>
      <c r="D205" s="23">
        <v>7.48</v>
      </c>
      <c r="E205" s="26">
        <v>44807</v>
      </c>
    </row>
    <row r="206" spans="1:5">
      <c r="A206" s="28">
        <v>18936798</v>
      </c>
      <c r="B206" s="23">
        <v>0.38</v>
      </c>
      <c r="C206" s="23" t="s">
        <v>448</v>
      </c>
      <c r="D206" s="23">
        <v>2.73</v>
      </c>
      <c r="E206" s="26">
        <v>44807</v>
      </c>
    </row>
    <row r="207" spans="1:5">
      <c r="A207" s="28">
        <v>18936971</v>
      </c>
      <c r="B207" s="23">
        <v>1.04</v>
      </c>
      <c r="C207" s="23" t="s">
        <v>448</v>
      </c>
      <c r="D207" s="23">
        <v>7.48</v>
      </c>
      <c r="E207" s="26">
        <v>44807</v>
      </c>
    </row>
    <row r="208" spans="1:5">
      <c r="A208" s="28">
        <v>18936223</v>
      </c>
      <c r="B208" s="23">
        <v>0.2</v>
      </c>
      <c r="C208" s="23" t="s">
        <v>448</v>
      </c>
      <c r="D208" s="23">
        <v>1.44</v>
      </c>
      <c r="E208" s="26">
        <v>44807</v>
      </c>
    </row>
    <row r="209" spans="1:5">
      <c r="A209" s="28">
        <v>18937703</v>
      </c>
      <c r="B209" s="23">
        <v>1.02</v>
      </c>
      <c r="C209" s="23" t="s">
        <v>448</v>
      </c>
      <c r="D209" s="23">
        <v>7.33</v>
      </c>
      <c r="E209" s="26">
        <v>44807</v>
      </c>
    </row>
    <row r="210" spans="1:5">
      <c r="A210" s="28">
        <v>18937704</v>
      </c>
      <c r="B210" s="23">
        <v>0.48</v>
      </c>
      <c r="C210" s="23" t="s">
        <v>448</v>
      </c>
      <c r="D210" s="23">
        <v>3.45</v>
      </c>
      <c r="E210" s="26">
        <v>44807</v>
      </c>
    </row>
    <row r="211" spans="1:5">
      <c r="A211" s="28">
        <v>18937521</v>
      </c>
      <c r="B211" s="23">
        <v>1.4</v>
      </c>
      <c r="C211" s="23" t="s">
        <v>448</v>
      </c>
      <c r="D211" s="23">
        <v>10.07</v>
      </c>
      <c r="E211" s="26">
        <v>44807</v>
      </c>
    </row>
    <row r="212" spans="1:5">
      <c r="A212" s="28">
        <v>18525151</v>
      </c>
      <c r="B212" s="23">
        <v>0.18</v>
      </c>
      <c r="C212" s="23" t="s">
        <v>448</v>
      </c>
      <c r="D212" s="23">
        <v>1.29</v>
      </c>
      <c r="E212" s="26">
        <v>44807</v>
      </c>
    </row>
    <row r="213" spans="1:5">
      <c r="A213" s="28">
        <v>18525522</v>
      </c>
      <c r="B213" s="23">
        <v>0.14000000000000001</v>
      </c>
      <c r="C213" s="23" t="s">
        <v>448</v>
      </c>
      <c r="D213" s="23">
        <v>1.01</v>
      </c>
      <c r="E213" s="26">
        <v>44807</v>
      </c>
    </row>
    <row r="214" spans="1:5">
      <c r="A214" s="28">
        <v>18527459</v>
      </c>
      <c r="B214" s="23">
        <v>0.5</v>
      </c>
      <c r="C214" s="23" t="s">
        <v>449</v>
      </c>
      <c r="D214" s="23">
        <v>3.6</v>
      </c>
      <c r="E214" s="26">
        <v>44807</v>
      </c>
    </row>
    <row r="215" spans="1:5">
      <c r="A215" s="28">
        <v>18939823</v>
      </c>
      <c r="B215" s="23">
        <v>1.85</v>
      </c>
      <c r="C215" s="23" t="s">
        <v>450</v>
      </c>
      <c r="D215" s="23">
        <v>13.3</v>
      </c>
      <c r="E215" s="26">
        <v>44807</v>
      </c>
    </row>
    <row r="216" spans="1:5">
      <c r="A216" s="28">
        <v>18939450</v>
      </c>
      <c r="B216" s="23">
        <v>0.4</v>
      </c>
      <c r="C216" s="23" t="s">
        <v>450</v>
      </c>
      <c r="D216" s="23">
        <v>2.88</v>
      </c>
      <c r="E216" s="26">
        <v>44807</v>
      </c>
    </row>
    <row r="217" spans="1:5">
      <c r="A217" s="28">
        <v>18940346</v>
      </c>
      <c r="B217" s="23">
        <v>0.65</v>
      </c>
      <c r="C217" s="23" t="s">
        <v>450</v>
      </c>
      <c r="D217" s="23">
        <v>4.67</v>
      </c>
      <c r="E217" s="26">
        <v>44807</v>
      </c>
    </row>
    <row r="218" spans="1:5">
      <c r="A218" s="28">
        <v>18940958</v>
      </c>
      <c r="B218" s="23">
        <v>0.32</v>
      </c>
      <c r="C218" s="23" t="s">
        <v>450</v>
      </c>
      <c r="D218" s="23">
        <v>2.2999999999999998</v>
      </c>
      <c r="E218" s="26">
        <v>44807</v>
      </c>
    </row>
    <row r="219" spans="1:5">
      <c r="A219" s="28">
        <v>18942049</v>
      </c>
      <c r="B219" s="23">
        <v>1.21</v>
      </c>
      <c r="C219" s="23" t="s">
        <v>450</v>
      </c>
      <c r="D219" s="23">
        <v>8.6999999999999993</v>
      </c>
      <c r="E219" s="26">
        <v>44807</v>
      </c>
    </row>
    <row r="220" spans="1:5">
      <c r="A220" s="28">
        <v>18941622</v>
      </c>
      <c r="B220" s="23">
        <v>1.86</v>
      </c>
      <c r="C220" s="23" t="s">
        <v>450</v>
      </c>
      <c r="D220" s="23">
        <v>13.37</v>
      </c>
      <c r="E220" s="26">
        <v>44812</v>
      </c>
    </row>
    <row r="221" spans="1:5">
      <c r="A221" s="28">
        <v>18942772</v>
      </c>
      <c r="B221" s="23">
        <v>0.36</v>
      </c>
      <c r="C221" s="23" t="s">
        <v>450</v>
      </c>
      <c r="D221" s="23">
        <v>2.59</v>
      </c>
      <c r="E221" s="26">
        <v>44807</v>
      </c>
    </row>
    <row r="222" spans="1:5">
      <c r="A222" s="28">
        <v>18943515</v>
      </c>
      <c r="B222" s="23">
        <v>0.23</v>
      </c>
      <c r="C222" s="23" t="s">
        <v>450</v>
      </c>
      <c r="D222" s="23">
        <v>1.65</v>
      </c>
      <c r="E222" s="26">
        <v>44807</v>
      </c>
    </row>
    <row r="223" spans="1:5">
      <c r="A223" s="28">
        <v>54720026</v>
      </c>
      <c r="B223" s="23">
        <v>0.5</v>
      </c>
      <c r="C223" s="23" t="s">
        <v>451</v>
      </c>
      <c r="D223" s="23">
        <v>2.5</v>
      </c>
      <c r="E223" s="26">
        <v>44812</v>
      </c>
    </row>
    <row r="224" spans="1:5">
      <c r="A224" s="28">
        <v>54720887</v>
      </c>
      <c r="B224" s="23">
        <v>0.2</v>
      </c>
      <c r="C224" s="23" t="s">
        <v>451</v>
      </c>
      <c r="D224" s="23">
        <v>1</v>
      </c>
      <c r="E224" s="26">
        <v>44812</v>
      </c>
    </row>
    <row r="225" spans="1:5">
      <c r="A225" s="28">
        <v>54720313</v>
      </c>
      <c r="B225" s="23">
        <v>0.26</v>
      </c>
      <c r="C225" s="23" t="s">
        <v>451</v>
      </c>
      <c r="D225" s="23">
        <v>1</v>
      </c>
      <c r="E225" s="26">
        <v>44812</v>
      </c>
    </row>
    <row r="226" spans="1:5">
      <c r="A226" s="28">
        <v>54721865</v>
      </c>
      <c r="B226" s="23">
        <v>0.3</v>
      </c>
      <c r="C226" s="23" t="s">
        <v>451</v>
      </c>
      <c r="D226" s="23">
        <v>2</v>
      </c>
      <c r="E226" s="26">
        <v>44812</v>
      </c>
    </row>
    <row r="227" spans="1:5">
      <c r="A227" s="28">
        <v>54718451</v>
      </c>
      <c r="B227" s="23">
        <v>0.3</v>
      </c>
      <c r="C227" s="23" t="s">
        <v>451</v>
      </c>
      <c r="D227" s="23">
        <v>2</v>
      </c>
      <c r="E227" s="26">
        <v>44812</v>
      </c>
    </row>
    <row r="228" spans="1:5">
      <c r="A228" s="28">
        <v>54717335</v>
      </c>
      <c r="B228" s="23">
        <v>1.7</v>
      </c>
      <c r="C228" s="23" t="s">
        <v>451</v>
      </c>
      <c r="D228" s="23">
        <v>7</v>
      </c>
      <c r="E228" s="26">
        <v>44812</v>
      </c>
    </row>
    <row r="229" spans="1:5">
      <c r="A229" s="28">
        <v>54719953</v>
      </c>
      <c r="B229" s="23">
        <v>0.6</v>
      </c>
      <c r="C229" s="23" t="s">
        <v>451</v>
      </c>
      <c r="D229" s="23">
        <v>3</v>
      </c>
      <c r="E229" s="26">
        <v>44812</v>
      </c>
    </row>
    <row r="230" spans="1:5">
      <c r="A230" s="28">
        <v>18946054</v>
      </c>
      <c r="B230" s="23">
        <v>7.78</v>
      </c>
      <c r="C230" s="23" t="s">
        <v>452</v>
      </c>
      <c r="D230" s="23">
        <v>55.94</v>
      </c>
      <c r="E230" s="26">
        <v>44812</v>
      </c>
    </row>
    <row r="231" spans="1:5">
      <c r="A231" s="28">
        <v>18946523</v>
      </c>
      <c r="B231" s="23">
        <v>0.52</v>
      </c>
      <c r="C231" s="23" t="s">
        <v>452</v>
      </c>
      <c r="D231" s="23">
        <v>3.74</v>
      </c>
      <c r="E231" s="26">
        <v>44812</v>
      </c>
    </row>
    <row r="232" spans="1:5">
      <c r="A232" s="28" t="s">
        <v>455</v>
      </c>
      <c r="B232" s="23"/>
      <c r="C232" s="23"/>
      <c r="D232" s="23">
        <v>2</v>
      </c>
      <c r="E232" s="26">
        <v>44812</v>
      </c>
    </row>
    <row r="233" spans="1:5">
      <c r="A233" s="28">
        <v>18528695</v>
      </c>
      <c r="B233" s="23">
        <v>0.96</v>
      </c>
      <c r="C233" s="23" t="s">
        <v>462</v>
      </c>
      <c r="D233" s="23">
        <v>6.9</v>
      </c>
      <c r="E233" s="26">
        <v>44812</v>
      </c>
    </row>
    <row r="234" spans="1:5">
      <c r="A234" s="28">
        <v>18528484</v>
      </c>
      <c r="B234" s="23">
        <v>1.5</v>
      </c>
      <c r="C234" s="23" t="s">
        <v>462</v>
      </c>
      <c r="D234" s="23">
        <v>10.79</v>
      </c>
      <c r="E234" s="26">
        <v>44812</v>
      </c>
    </row>
    <row r="235" spans="1:5">
      <c r="A235" s="28">
        <v>18528338</v>
      </c>
      <c r="B235" s="23">
        <v>0.24</v>
      </c>
      <c r="C235" s="23" t="s">
        <v>462</v>
      </c>
      <c r="D235" s="23">
        <v>1.73</v>
      </c>
      <c r="E235" s="26">
        <v>44812</v>
      </c>
    </row>
    <row r="236" spans="1:5">
      <c r="A236" s="28">
        <v>54714951</v>
      </c>
      <c r="B236" s="23">
        <v>1.6</v>
      </c>
      <c r="C236" s="23" t="s">
        <v>467</v>
      </c>
      <c r="D236" s="23">
        <v>4</v>
      </c>
      <c r="E236" s="26">
        <v>44812</v>
      </c>
    </row>
    <row r="237" spans="1:5">
      <c r="A237" s="28">
        <v>54715597</v>
      </c>
      <c r="B237" s="23">
        <v>0.4</v>
      </c>
      <c r="C237" s="23" t="s">
        <v>467</v>
      </c>
      <c r="D237" s="23">
        <v>1</v>
      </c>
      <c r="E237" s="26">
        <v>44812</v>
      </c>
    </row>
    <row r="238" spans="1:5">
      <c r="A238" s="28">
        <v>54715152</v>
      </c>
      <c r="B238" s="23">
        <v>0.3</v>
      </c>
      <c r="C238" s="23" t="s">
        <v>467</v>
      </c>
      <c r="D238" s="23">
        <v>1</v>
      </c>
      <c r="E238" s="26">
        <v>44812</v>
      </c>
    </row>
    <row r="239" spans="1:5">
      <c r="A239" s="28">
        <v>54721686</v>
      </c>
      <c r="B239" s="23">
        <v>0.56000000000000005</v>
      </c>
      <c r="C239" s="23" t="s">
        <v>467</v>
      </c>
      <c r="D239" s="23">
        <v>2</v>
      </c>
      <c r="E239" s="26">
        <v>44812</v>
      </c>
    </row>
    <row r="240" spans="1:5">
      <c r="A240" s="28">
        <v>54718682</v>
      </c>
      <c r="B240" s="23">
        <v>0.38</v>
      </c>
      <c r="C240" s="23" t="s">
        <v>467</v>
      </c>
      <c r="D240" s="23">
        <v>1</v>
      </c>
      <c r="E240" s="26">
        <v>44812</v>
      </c>
    </row>
    <row r="241" spans="1:5">
      <c r="A241" s="28">
        <v>54709389</v>
      </c>
      <c r="B241" s="23">
        <v>1.5</v>
      </c>
      <c r="C241" s="23" t="s">
        <v>467</v>
      </c>
      <c r="D241" s="23">
        <v>4</v>
      </c>
      <c r="E241" s="26">
        <v>44812</v>
      </c>
    </row>
    <row r="242" spans="1:5">
      <c r="A242" s="28">
        <v>54714205</v>
      </c>
      <c r="B242" s="23">
        <v>0.55000000000000004</v>
      </c>
      <c r="C242" s="23" t="s">
        <v>467</v>
      </c>
      <c r="D242" s="23">
        <v>1</v>
      </c>
      <c r="E242" s="26">
        <v>44812</v>
      </c>
    </row>
    <row r="243" spans="1:5">
      <c r="A243" s="28">
        <v>54727558</v>
      </c>
      <c r="B243" s="23">
        <v>0.8</v>
      </c>
      <c r="C243" s="23" t="s">
        <v>468</v>
      </c>
      <c r="D243" s="23">
        <v>2</v>
      </c>
      <c r="E243" s="26">
        <v>44812</v>
      </c>
    </row>
    <row r="244" spans="1:5">
      <c r="A244" s="28">
        <v>54718707</v>
      </c>
      <c r="B244" s="23">
        <v>0.6</v>
      </c>
      <c r="C244" s="23" t="s">
        <v>468</v>
      </c>
      <c r="D244" s="23">
        <v>2</v>
      </c>
      <c r="E244" s="26">
        <v>44812</v>
      </c>
    </row>
    <row r="245" spans="1:5">
      <c r="A245" s="28">
        <v>18939843</v>
      </c>
      <c r="B245" s="23">
        <v>0.45</v>
      </c>
      <c r="C245" s="23" t="s">
        <v>487</v>
      </c>
      <c r="D245" s="23">
        <v>3.24</v>
      </c>
      <c r="E245" s="26">
        <v>44823</v>
      </c>
    </row>
    <row r="246" spans="1:5">
      <c r="A246" s="28">
        <v>18953343</v>
      </c>
      <c r="B246" s="23">
        <v>0.13</v>
      </c>
      <c r="C246" s="23" t="s">
        <v>487</v>
      </c>
      <c r="D246" s="23">
        <v>0.93</v>
      </c>
      <c r="E246" s="26">
        <v>44823</v>
      </c>
    </row>
    <row r="247" spans="1:5">
      <c r="A247" s="28">
        <v>18956125</v>
      </c>
      <c r="B247" s="23">
        <v>0.42</v>
      </c>
      <c r="C247" s="23" t="s">
        <v>487</v>
      </c>
      <c r="D247" s="23">
        <v>3.02</v>
      </c>
      <c r="E247" s="26">
        <v>44823</v>
      </c>
    </row>
    <row r="248" spans="1:5">
      <c r="A248" s="28">
        <v>18955215</v>
      </c>
      <c r="B248" s="23">
        <v>1.65</v>
      </c>
      <c r="C248" s="23" t="s">
        <v>487</v>
      </c>
      <c r="D248" s="23">
        <v>11.86</v>
      </c>
      <c r="E248" s="26">
        <v>44823</v>
      </c>
    </row>
    <row r="249" spans="1:5">
      <c r="A249" s="28">
        <v>18955298</v>
      </c>
      <c r="B249" s="23">
        <v>0.35</v>
      </c>
      <c r="C249" s="23" t="s">
        <v>487</v>
      </c>
      <c r="D249" s="23">
        <v>3</v>
      </c>
      <c r="E249" s="26">
        <v>44823</v>
      </c>
    </row>
    <row r="250" spans="1:5">
      <c r="A250" s="28">
        <v>18958504</v>
      </c>
      <c r="B250" s="23">
        <v>2.58</v>
      </c>
      <c r="C250" s="23" t="s">
        <v>487</v>
      </c>
      <c r="D250" s="23">
        <v>18.55</v>
      </c>
      <c r="E250" s="26">
        <v>44823</v>
      </c>
    </row>
    <row r="251" spans="1:5">
      <c r="A251" s="28">
        <v>18960261</v>
      </c>
      <c r="B251" s="23">
        <v>0.95</v>
      </c>
      <c r="C251" s="23" t="s">
        <v>488</v>
      </c>
      <c r="D251" s="23">
        <v>6.83</v>
      </c>
      <c r="E251" s="26">
        <v>44823</v>
      </c>
    </row>
    <row r="252" spans="1:5">
      <c r="A252" s="28">
        <v>18961294</v>
      </c>
      <c r="B252" s="23">
        <v>0.38</v>
      </c>
      <c r="C252" s="23" t="s">
        <v>488</v>
      </c>
      <c r="D252" s="23">
        <v>2.73</v>
      </c>
      <c r="E252" s="26">
        <v>44823</v>
      </c>
    </row>
    <row r="253" spans="1:5">
      <c r="A253" s="28">
        <v>18961666</v>
      </c>
      <c r="B253" s="23">
        <v>0.5</v>
      </c>
      <c r="C253" s="23" t="s">
        <v>488</v>
      </c>
      <c r="D253" s="23">
        <v>3.6</v>
      </c>
      <c r="E253" s="26">
        <v>44823</v>
      </c>
    </row>
    <row r="254" spans="1:5">
      <c r="A254" s="28">
        <v>18961619</v>
      </c>
      <c r="B254" s="23">
        <v>1.52</v>
      </c>
      <c r="C254" s="23" t="s">
        <v>488</v>
      </c>
      <c r="D254" s="23">
        <v>10.93</v>
      </c>
      <c r="E254" s="26">
        <v>44823</v>
      </c>
    </row>
    <row r="255" spans="1:5">
      <c r="A255" s="28">
        <v>18962759</v>
      </c>
      <c r="B255" s="23">
        <v>0.76</v>
      </c>
      <c r="C255" s="23" t="s">
        <v>488</v>
      </c>
      <c r="D255" s="23">
        <v>5.46</v>
      </c>
      <c r="E255" s="26">
        <v>44823</v>
      </c>
    </row>
    <row r="256" spans="1:5">
      <c r="A256" s="28">
        <v>18530679</v>
      </c>
      <c r="B256" s="23">
        <v>0.3</v>
      </c>
      <c r="C256" s="23" t="s">
        <v>488</v>
      </c>
      <c r="D256" s="23">
        <v>2.16</v>
      </c>
      <c r="E256" s="26">
        <v>44823</v>
      </c>
    </row>
    <row r="257" spans="1:5">
      <c r="A257" s="28">
        <v>54720763</v>
      </c>
      <c r="B257" s="23">
        <v>0.8</v>
      </c>
      <c r="C257" s="23" t="s">
        <v>491</v>
      </c>
      <c r="D257" s="23">
        <v>2</v>
      </c>
      <c r="E257" s="26">
        <v>44823</v>
      </c>
    </row>
    <row r="258" spans="1:5">
      <c r="A258" s="28">
        <v>54740737</v>
      </c>
      <c r="B258" s="23">
        <v>0.4</v>
      </c>
      <c r="C258" s="23" t="s">
        <v>491</v>
      </c>
      <c r="D258" s="23">
        <v>1</v>
      </c>
      <c r="E258" s="26">
        <v>44823</v>
      </c>
    </row>
    <row r="259" spans="1:5">
      <c r="A259" s="28">
        <v>54743437</v>
      </c>
      <c r="B259" s="23">
        <v>0.57999999999999996</v>
      </c>
      <c r="C259" s="23" t="s">
        <v>492</v>
      </c>
      <c r="D259" s="23">
        <v>2</v>
      </c>
      <c r="E259" s="26">
        <v>44823</v>
      </c>
    </row>
    <row r="260" spans="1:5">
      <c r="A260" s="28">
        <v>54744253</v>
      </c>
      <c r="B260" s="23">
        <v>0.92</v>
      </c>
      <c r="C260" s="23" t="s">
        <v>492</v>
      </c>
      <c r="D260" s="23">
        <v>3</v>
      </c>
      <c r="E260" s="26">
        <v>44823</v>
      </c>
    </row>
    <row r="261" spans="1:5">
      <c r="A261" s="28">
        <v>54752240</v>
      </c>
      <c r="B261" s="23">
        <v>0.5</v>
      </c>
      <c r="C261" s="23" t="s">
        <v>493</v>
      </c>
      <c r="D261" s="23">
        <v>2.5</v>
      </c>
      <c r="E261" s="26">
        <v>44826</v>
      </c>
    </row>
    <row r="262" spans="1:5">
      <c r="A262" s="28">
        <v>54749629</v>
      </c>
      <c r="B262" s="23">
        <v>0.7</v>
      </c>
      <c r="C262" s="23" t="s">
        <v>493</v>
      </c>
      <c r="D262" s="23">
        <v>3</v>
      </c>
      <c r="E262" s="26">
        <v>44826</v>
      </c>
    </row>
    <row r="263" spans="1:5">
      <c r="A263" s="28">
        <v>54748552</v>
      </c>
      <c r="B263" s="23">
        <v>0.3</v>
      </c>
      <c r="C263" s="23" t="s">
        <v>493</v>
      </c>
      <c r="D263" s="23">
        <v>2</v>
      </c>
      <c r="E263" s="26">
        <v>44826</v>
      </c>
    </row>
    <row r="264" spans="1:5">
      <c r="A264" s="28">
        <v>54752341</v>
      </c>
      <c r="B264" s="23">
        <v>0.4</v>
      </c>
      <c r="C264" s="23" t="s">
        <v>493</v>
      </c>
      <c r="D264" s="23">
        <v>2</v>
      </c>
      <c r="E264" s="26">
        <v>44826</v>
      </c>
    </row>
    <row r="265" spans="1:5">
      <c r="A265" s="28">
        <v>18966212</v>
      </c>
      <c r="B265" s="23">
        <v>0.94</v>
      </c>
      <c r="C265" s="23" t="s">
        <v>494</v>
      </c>
      <c r="D265" s="23">
        <v>7</v>
      </c>
      <c r="E265" s="26">
        <v>44826</v>
      </c>
    </row>
    <row r="266" spans="1:5">
      <c r="A266" s="28">
        <v>18970851</v>
      </c>
      <c r="B266" s="23">
        <v>0.59</v>
      </c>
      <c r="C266" s="23" t="s">
        <v>508</v>
      </c>
      <c r="D266" s="23">
        <v>4.24</v>
      </c>
      <c r="E266" s="26">
        <v>44826</v>
      </c>
    </row>
    <row r="267" spans="1:5">
      <c r="A267" s="28">
        <v>18971516</v>
      </c>
      <c r="B267" s="23">
        <v>0.77</v>
      </c>
      <c r="C267" s="23" t="s">
        <v>508</v>
      </c>
      <c r="D267" s="23">
        <v>5.54</v>
      </c>
      <c r="E267" s="26">
        <v>44826</v>
      </c>
    </row>
    <row r="268" spans="1:5">
      <c r="A268" s="28">
        <v>18971643</v>
      </c>
      <c r="B268" s="23">
        <v>0.34</v>
      </c>
      <c r="C268" s="23" t="s">
        <v>508</v>
      </c>
      <c r="D268" s="23">
        <v>2.44</v>
      </c>
      <c r="E268" s="26">
        <v>44826</v>
      </c>
    </row>
    <row r="269" spans="1:5">
      <c r="A269" s="28">
        <v>18974120</v>
      </c>
      <c r="B269" s="23">
        <v>1.06</v>
      </c>
      <c r="C269" s="23" t="s">
        <v>508</v>
      </c>
      <c r="D269" s="23">
        <v>7.62</v>
      </c>
      <c r="E269" s="26">
        <v>44826</v>
      </c>
    </row>
    <row r="270" spans="1:5">
      <c r="A270" s="28">
        <v>18529670</v>
      </c>
      <c r="B270" s="23">
        <v>0.27</v>
      </c>
      <c r="C270" s="23" t="s">
        <v>508</v>
      </c>
      <c r="D270" s="23">
        <v>1.94</v>
      </c>
      <c r="E270" s="26">
        <v>44826</v>
      </c>
    </row>
    <row r="271" spans="1:5">
      <c r="A271" s="28">
        <v>54739074</v>
      </c>
      <c r="B271" s="23">
        <v>3</v>
      </c>
      <c r="C271" s="23" t="s">
        <v>511</v>
      </c>
      <c r="D271" s="23">
        <v>7</v>
      </c>
      <c r="E271" s="26">
        <v>44826</v>
      </c>
    </row>
    <row r="272" spans="1:5">
      <c r="A272" s="28">
        <v>54761486</v>
      </c>
      <c r="B272" s="23">
        <v>0.8</v>
      </c>
      <c r="C272" s="23" t="s">
        <v>513</v>
      </c>
      <c r="D272" s="23">
        <v>2</v>
      </c>
      <c r="E272" s="26">
        <v>44826</v>
      </c>
    </row>
    <row r="273" spans="1:5">
      <c r="A273" s="28">
        <v>18973436</v>
      </c>
      <c r="B273" s="23">
        <v>1.96</v>
      </c>
      <c r="C273" s="23" t="s">
        <v>514</v>
      </c>
      <c r="D273" s="23">
        <v>14.09</v>
      </c>
      <c r="E273" s="26">
        <v>44831</v>
      </c>
    </row>
    <row r="274" spans="1:5">
      <c r="A274" s="28">
        <v>18977250</v>
      </c>
      <c r="B274" s="23">
        <v>0.48</v>
      </c>
      <c r="C274" s="23" t="s">
        <v>539</v>
      </c>
      <c r="D274" s="23">
        <v>3.45</v>
      </c>
      <c r="E274" s="26">
        <v>44831</v>
      </c>
    </row>
    <row r="275" spans="1:5">
      <c r="A275" s="28">
        <v>18978364</v>
      </c>
      <c r="B275" s="23">
        <v>0.18</v>
      </c>
      <c r="C275" s="23" t="s">
        <v>539</v>
      </c>
      <c r="D275" s="23">
        <v>1.29</v>
      </c>
      <c r="E275" s="26">
        <v>44831</v>
      </c>
    </row>
    <row r="276" spans="1:5">
      <c r="A276" s="28">
        <v>18982127</v>
      </c>
      <c r="B276" s="23">
        <v>1.34</v>
      </c>
      <c r="C276" s="23" t="s">
        <v>539</v>
      </c>
      <c r="D276" s="23">
        <v>9.6300000000000008</v>
      </c>
      <c r="E276" s="26">
        <v>44831</v>
      </c>
    </row>
    <row r="277" spans="1:5">
      <c r="A277" s="28">
        <v>18983590</v>
      </c>
      <c r="B277" s="23">
        <v>0.18</v>
      </c>
      <c r="C277" s="23" t="s">
        <v>540</v>
      </c>
      <c r="D277" s="23">
        <v>1.29</v>
      </c>
      <c r="E277" s="23"/>
    </row>
    <row r="278" spans="1:5">
      <c r="A278" s="28">
        <v>19024438</v>
      </c>
      <c r="B278" s="23">
        <v>0.32</v>
      </c>
      <c r="C278" s="23" t="s">
        <v>540</v>
      </c>
      <c r="D278" s="23">
        <v>2.2999999999999998</v>
      </c>
      <c r="E278" s="23"/>
    </row>
    <row r="279" spans="1:5">
      <c r="A279" s="28">
        <v>19025153</v>
      </c>
      <c r="B279" s="23">
        <v>1.1200000000000001</v>
      </c>
      <c r="C279" s="23" t="s">
        <v>540</v>
      </c>
      <c r="D279" s="23">
        <v>8.1199999999999992</v>
      </c>
      <c r="E279" s="26">
        <v>44831</v>
      </c>
    </row>
    <row r="280" spans="1:5">
      <c r="A280" s="28">
        <v>19027098</v>
      </c>
      <c r="B280" s="23">
        <v>0.18</v>
      </c>
      <c r="C280" s="23" t="s">
        <v>540</v>
      </c>
      <c r="D280" s="23">
        <v>1.29</v>
      </c>
      <c r="E280" s="23"/>
    </row>
    <row r="281" spans="1:5">
      <c r="A281" s="28">
        <v>19026507</v>
      </c>
      <c r="B281" s="23">
        <v>0.45</v>
      </c>
      <c r="C281" s="23" t="s">
        <v>540</v>
      </c>
      <c r="D281" s="23">
        <v>3.23</v>
      </c>
      <c r="E281" s="23"/>
    </row>
    <row r="282" spans="1:5">
      <c r="A282" s="28">
        <v>18980823</v>
      </c>
      <c r="B282" s="23">
        <v>1.46</v>
      </c>
      <c r="C282" s="23" t="s">
        <v>542</v>
      </c>
      <c r="D282" s="23">
        <v>10.5</v>
      </c>
      <c r="E282" s="26">
        <v>44831</v>
      </c>
    </row>
    <row r="283" spans="1:5">
      <c r="A283" s="28">
        <v>18982180</v>
      </c>
      <c r="B283" s="23">
        <v>1.32</v>
      </c>
      <c r="C283" s="23" t="s">
        <v>542</v>
      </c>
      <c r="D283" s="23">
        <v>9.49</v>
      </c>
      <c r="E283" s="23"/>
    </row>
    <row r="284" spans="1:5">
      <c r="A284" s="28">
        <v>18985045</v>
      </c>
      <c r="B284" s="23">
        <v>0.5</v>
      </c>
      <c r="C284" s="23" t="s">
        <v>542</v>
      </c>
      <c r="D284" s="23">
        <v>3.6</v>
      </c>
      <c r="E284" s="23"/>
    </row>
    <row r="285" spans="1:5">
      <c r="A285" s="28">
        <v>18984971</v>
      </c>
      <c r="B285" s="23">
        <v>0.18</v>
      </c>
      <c r="C285" s="23" t="s">
        <v>542</v>
      </c>
      <c r="D285" s="23">
        <v>1.29</v>
      </c>
      <c r="E285" s="23"/>
    </row>
    <row r="286" spans="1:5">
      <c r="A286" s="28">
        <v>19027863</v>
      </c>
      <c r="B286" s="23">
        <v>1.2</v>
      </c>
      <c r="C286" s="23" t="s">
        <v>542</v>
      </c>
      <c r="D286" s="23">
        <v>8.6300000000000008</v>
      </c>
      <c r="E286" s="23"/>
    </row>
    <row r="287" spans="1:5">
      <c r="A287" s="28">
        <v>54775477</v>
      </c>
      <c r="B287" s="23">
        <v>1</v>
      </c>
      <c r="C287" s="23" t="s">
        <v>543</v>
      </c>
      <c r="D287" s="23">
        <v>4</v>
      </c>
      <c r="E287" s="26">
        <v>44831</v>
      </c>
    </row>
    <row r="288" spans="1:5">
      <c r="A288" s="28">
        <v>54781545</v>
      </c>
      <c r="B288" s="23">
        <v>5.0999999999999996</v>
      </c>
      <c r="C288" s="23" t="s">
        <v>543</v>
      </c>
      <c r="D288" s="23">
        <v>17.16</v>
      </c>
      <c r="E288" s="26">
        <v>44831</v>
      </c>
    </row>
    <row r="289" spans="1:5">
      <c r="A289" s="28">
        <v>54777227</v>
      </c>
      <c r="B289" s="23">
        <v>0.4</v>
      </c>
      <c r="C289" s="23" t="s">
        <v>543</v>
      </c>
      <c r="D289" s="23">
        <v>2</v>
      </c>
      <c r="E289" s="26">
        <v>44831</v>
      </c>
    </row>
    <row r="290" spans="1:5">
      <c r="A290" s="28">
        <v>54774723</v>
      </c>
      <c r="B290" s="23">
        <v>0.4</v>
      </c>
      <c r="C290" s="23" t="s">
        <v>543</v>
      </c>
      <c r="D290" s="23">
        <v>2</v>
      </c>
      <c r="E290" s="26">
        <v>44831</v>
      </c>
    </row>
    <row r="291" spans="1:5">
      <c r="A291" s="28" t="s">
        <v>339</v>
      </c>
      <c r="B291" s="23"/>
      <c r="C291" s="23" t="s">
        <v>550</v>
      </c>
      <c r="D291" s="23">
        <v>12.29</v>
      </c>
      <c r="E291" s="26">
        <v>44826</v>
      </c>
    </row>
    <row r="292" spans="1:5">
      <c r="A292" s="28">
        <v>18531066</v>
      </c>
      <c r="B292" s="23">
        <v>3.54</v>
      </c>
      <c r="C292" s="23" t="s">
        <v>552</v>
      </c>
      <c r="D292" s="48">
        <f>60.14-40</f>
        <v>20.14</v>
      </c>
      <c r="E292" s="26">
        <v>44834</v>
      </c>
    </row>
    <row r="293" spans="1:5">
      <c r="A293" s="28">
        <v>19030141</v>
      </c>
      <c r="B293" s="23">
        <v>0.32</v>
      </c>
      <c r="C293" s="23" t="s">
        <v>553</v>
      </c>
      <c r="D293" s="23">
        <v>2.2999999999999998</v>
      </c>
      <c r="E293" s="26">
        <v>44834</v>
      </c>
    </row>
    <row r="294" spans="1:5">
      <c r="A294" s="28">
        <v>19034112</v>
      </c>
      <c r="B294" s="23">
        <v>0.72</v>
      </c>
      <c r="C294" s="23" t="s">
        <v>553</v>
      </c>
      <c r="D294" s="23">
        <v>5.18</v>
      </c>
      <c r="E294" s="26">
        <v>44834</v>
      </c>
    </row>
    <row r="295" spans="1:5">
      <c r="A295" s="28">
        <v>19034166</v>
      </c>
      <c r="B295" s="23">
        <v>0.98</v>
      </c>
      <c r="C295" s="23" t="s">
        <v>553</v>
      </c>
      <c r="D295" s="23">
        <v>7.05</v>
      </c>
      <c r="E295" s="26">
        <v>44834</v>
      </c>
    </row>
    <row r="296" spans="1:5">
      <c r="A296" s="28">
        <v>19032972</v>
      </c>
      <c r="B296" s="23">
        <v>2.0499999999999998</v>
      </c>
      <c r="C296" s="23" t="s">
        <v>554</v>
      </c>
      <c r="D296" s="23">
        <v>14.74</v>
      </c>
      <c r="E296" s="26">
        <v>44834</v>
      </c>
    </row>
    <row r="297" spans="1:5">
      <c r="A297" s="28">
        <v>19034990</v>
      </c>
      <c r="B297" s="23">
        <v>0.14000000000000001</v>
      </c>
      <c r="C297" s="23" t="s">
        <v>554</v>
      </c>
      <c r="D297" s="23">
        <v>1.01</v>
      </c>
      <c r="E297" s="26">
        <v>44834</v>
      </c>
    </row>
    <row r="298" spans="1:5">
      <c r="A298" s="28">
        <v>19042888</v>
      </c>
      <c r="B298" s="23">
        <v>1.28</v>
      </c>
      <c r="C298" s="23" t="s">
        <v>554</v>
      </c>
      <c r="D298" s="23">
        <v>9.1999999999999993</v>
      </c>
      <c r="E298" s="26">
        <v>44834</v>
      </c>
    </row>
    <row r="299" spans="1:5">
      <c r="A299" s="28">
        <v>54777441</v>
      </c>
      <c r="B299" s="23">
        <v>0.4</v>
      </c>
      <c r="C299" s="23" t="s">
        <v>560</v>
      </c>
      <c r="D299" s="23">
        <v>1</v>
      </c>
      <c r="E299" s="26">
        <v>44834</v>
      </c>
    </row>
    <row r="300" spans="1:5">
      <c r="A300" s="28">
        <v>54777885</v>
      </c>
      <c r="B300" s="23">
        <v>0.7</v>
      </c>
      <c r="C300" s="23" t="s">
        <v>560</v>
      </c>
      <c r="D300" s="23">
        <v>2</v>
      </c>
      <c r="E300" s="26">
        <v>44834</v>
      </c>
    </row>
    <row r="301" spans="1:5">
      <c r="A301" s="28">
        <v>54774576</v>
      </c>
      <c r="B301" s="23">
        <v>0.7</v>
      </c>
      <c r="C301" s="23" t="s">
        <v>560</v>
      </c>
      <c r="D301" s="23">
        <v>2</v>
      </c>
      <c r="E301" s="26">
        <v>44834</v>
      </c>
    </row>
    <row r="302" spans="1:5">
      <c r="A302" s="28">
        <v>54773469</v>
      </c>
      <c r="B302" s="23">
        <v>0.4</v>
      </c>
      <c r="C302" s="23" t="s">
        <v>561</v>
      </c>
      <c r="D302" s="23">
        <v>1</v>
      </c>
      <c r="E302" s="26">
        <v>44834</v>
      </c>
    </row>
    <row r="303" spans="1:5">
      <c r="A303" s="28">
        <v>54782750</v>
      </c>
      <c r="B303" s="23">
        <v>1.4</v>
      </c>
      <c r="C303" s="23" t="s">
        <v>561</v>
      </c>
      <c r="D303" s="23">
        <v>4</v>
      </c>
      <c r="E303" s="26">
        <v>44834</v>
      </c>
    </row>
    <row r="304" spans="1:5">
      <c r="A304" s="28">
        <v>19042133</v>
      </c>
      <c r="B304" s="23">
        <v>0.27</v>
      </c>
      <c r="C304" s="23" t="s">
        <v>566</v>
      </c>
      <c r="D304" s="23">
        <v>2</v>
      </c>
      <c r="E304" s="26">
        <v>44841</v>
      </c>
    </row>
    <row r="305" spans="1:5">
      <c r="A305" s="28">
        <v>19047386</v>
      </c>
      <c r="B305" s="23">
        <v>0.14000000000000001</v>
      </c>
      <c r="C305" s="23" t="s">
        <v>566</v>
      </c>
      <c r="D305" s="23">
        <v>1</v>
      </c>
      <c r="E305" s="26">
        <v>44841</v>
      </c>
    </row>
    <row r="306" spans="1:5">
      <c r="A306" s="28">
        <v>54774281</v>
      </c>
      <c r="B306" s="23">
        <v>0.9</v>
      </c>
      <c r="C306" s="23" t="s">
        <v>567</v>
      </c>
      <c r="D306" s="23">
        <v>2</v>
      </c>
      <c r="E306" s="26">
        <v>44834</v>
      </c>
    </row>
    <row r="307" spans="1:5">
      <c r="A307" s="28">
        <v>54790147</v>
      </c>
      <c r="B307" s="23">
        <v>1.8</v>
      </c>
      <c r="C307" s="23" t="s">
        <v>568</v>
      </c>
      <c r="D307" s="23">
        <v>4</v>
      </c>
      <c r="E307" s="26">
        <v>44841</v>
      </c>
    </row>
    <row r="308" spans="1:5">
      <c r="A308" s="23" t="s">
        <v>573</v>
      </c>
      <c r="B308" s="23"/>
      <c r="C308" s="23" t="s">
        <v>574</v>
      </c>
      <c r="D308" s="23">
        <v>20</v>
      </c>
      <c r="E308" s="26">
        <v>44827</v>
      </c>
    </row>
    <row r="309" spans="1:5">
      <c r="A309" s="28">
        <v>54797971</v>
      </c>
      <c r="B309" s="23">
        <v>0.5</v>
      </c>
      <c r="C309" s="23" t="s">
        <v>575</v>
      </c>
      <c r="D309" s="23">
        <v>3</v>
      </c>
      <c r="E309" s="26">
        <v>44834</v>
      </c>
    </row>
    <row r="310" spans="1:5">
      <c r="A310" s="28">
        <v>19048427</v>
      </c>
      <c r="B310" s="23">
        <v>2.02</v>
      </c>
      <c r="C310" s="23" t="s">
        <v>576</v>
      </c>
      <c r="D310" s="23">
        <v>14.52</v>
      </c>
      <c r="E310" s="26">
        <v>44841</v>
      </c>
    </row>
    <row r="311" spans="1:5">
      <c r="A311" s="28">
        <v>19049302</v>
      </c>
      <c r="B311" s="23">
        <v>1.94</v>
      </c>
      <c r="C311" s="23" t="s">
        <v>576</v>
      </c>
      <c r="D311" s="23">
        <v>14</v>
      </c>
      <c r="E311" s="26">
        <v>44841</v>
      </c>
    </row>
    <row r="312" spans="1:5">
      <c r="A312" s="28">
        <v>19051150</v>
      </c>
      <c r="B312" s="23">
        <v>0.26</v>
      </c>
      <c r="C312" s="23" t="s">
        <v>579</v>
      </c>
      <c r="D312" s="23">
        <v>1.87</v>
      </c>
      <c r="E312" s="26">
        <v>44841</v>
      </c>
    </row>
    <row r="313" spans="1:5">
      <c r="A313" s="28">
        <v>19053424</v>
      </c>
      <c r="B313" s="23">
        <v>0.2</v>
      </c>
      <c r="C313" s="23" t="s">
        <v>579</v>
      </c>
      <c r="D313" s="23">
        <v>1.44</v>
      </c>
      <c r="E313" s="26">
        <v>44841</v>
      </c>
    </row>
    <row r="314" spans="1:5">
      <c r="A314" s="28">
        <v>19056329</v>
      </c>
      <c r="B314" s="23">
        <v>0.14000000000000001</v>
      </c>
      <c r="C314" s="23" t="s">
        <v>579</v>
      </c>
      <c r="D314" s="23">
        <v>1.01</v>
      </c>
      <c r="E314" s="26">
        <v>44841</v>
      </c>
    </row>
    <row r="315" spans="1:5">
      <c r="A315" s="28">
        <v>19057505</v>
      </c>
      <c r="B315" s="23">
        <v>0.95</v>
      </c>
      <c r="C315" s="23" t="s">
        <v>579</v>
      </c>
      <c r="D315" s="23">
        <v>6.83</v>
      </c>
      <c r="E315" s="26">
        <v>44841</v>
      </c>
    </row>
    <row r="316" spans="1:5">
      <c r="A316" s="28">
        <v>19058252</v>
      </c>
      <c r="B316" s="23">
        <v>1.6220000000000001</v>
      </c>
      <c r="C316" s="23" t="s">
        <v>579</v>
      </c>
      <c r="D316" s="23">
        <v>11.65</v>
      </c>
      <c r="E316" s="26">
        <v>44841</v>
      </c>
    </row>
    <row r="317" spans="1:5">
      <c r="A317" s="28">
        <v>18949429</v>
      </c>
      <c r="B317" s="23">
        <v>0.54</v>
      </c>
      <c r="C317" s="23" t="s">
        <v>580</v>
      </c>
      <c r="D317" s="23">
        <v>3.07</v>
      </c>
      <c r="E317" s="26">
        <v>44848</v>
      </c>
    </row>
    <row r="318" spans="1:5">
      <c r="A318" s="28">
        <v>18943891</v>
      </c>
      <c r="B318" s="23">
        <v>6.85</v>
      </c>
      <c r="C318" s="23" t="s">
        <v>581</v>
      </c>
      <c r="D318" s="23">
        <v>26.03</v>
      </c>
      <c r="E318" s="26">
        <v>44848</v>
      </c>
    </row>
    <row r="319" spans="1:5">
      <c r="A319" s="28">
        <v>54804040</v>
      </c>
      <c r="B319" s="23">
        <v>0.2</v>
      </c>
      <c r="C319" s="23" t="s">
        <v>584</v>
      </c>
      <c r="D319" s="23">
        <v>0.5</v>
      </c>
      <c r="E319" s="26">
        <v>44841</v>
      </c>
    </row>
    <row r="320" spans="1:5">
      <c r="A320" s="28">
        <v>54793529</v>
      </c>
      <c r="B320" s="23">
        <v>0.8</v>
      </c>
      <c r="C320" s="23" t="s">
        <v>584</v>
      </c>
      <c r="D320" s="23">
        <v>2</v>
      </c>
      <c r="E320" s="26">
        <v>44841</v>
      </c>
    </row>
    <row r="321" spans="1:5">
      <c r="A321" s="28">
        <v>54800044</v>
      </c>
      <c r="B321" s="23">
        <v>0.3</v>
      </c>
      <c r="C321" s="23" t="s">
        <v>588</v>
      </c>
      <c r="D321" s="23">
        <v>1</v>
      </c>
      <c r="E321" s="26">
        <v>44841</v>
      </c>
    </row>
    <row r="322" spans="1:5">
      <c r="A322" s="28">
        <v>54800158</v>
      </c>
      <c r="B322" s="23">
        <v>0.2</v>
      </c>
      <c r="C322" s="23" t="s">
        <v>589</v>
      </c>
      <c r="D322" s="23">
        <v>0.5</v>
      </c>
      <c r="E322" s="26">
        <v>44848</v>
      </c>
    </row>
    <row r="323" spans="1:5">
      <c r="A323" s="28">
        <v>19065836</v>
      </c>
      <c r="B323" s="23">
        <v>0.27</v>
      </c>
      <c r="C323" s="23" t="s">
        <v>590</v>
      </c>
      <c r="D323" s="23">
        <v>2</v>
      </c>
      <c r="E323" s="26">
        <v>44853</v>
      </c>
    </row>
    <row r="324" spans="1:5">
      <c r="A324" s="28">
        <v>19066008</v>
      </c>
      <c r="B324" s="23">
        <v>0.76</v>
      </c>
      <c r="C324" s="23" t="s">
        <v>590</v>
      </c>
      <c r="D324" s="23">
        <v>5.5</v>
      </c>
      <c r="E324" s="26">
        <v>44848</v>
      </c>
    </row>
    <row r="325" spans="1:5">
      <c r="A325" s="28">
        <v>19069949</v>
      </c>
      <c r="B325" s="23">
        <v>0.68</v>
      </c>
      <c r="C325" s="23" t="s">
        <v>590</v>
      </c>
      <c r="D325" s="23">
        <v>4.8899999999999997</v>
      </c>
      <c r="E325" s="26">
        <v>44848</v>
      </c>
    </row>
    <row r="326" spans="1:5">
      <c r="A326" s="28">
        <v>19071014</v>
      </c>
      <c r="B326" s="23">
        <v>0.3</v>
      </c>
      <c r="C326" s="23" t="s">
        <v>590</v>
      </c>
      <c r="D326" s="23">
        <v>2.16</v>
      </c>
      <c r="E326" s="26">
        <v>44848</v>
      </c>
    </row>
    <row r="327" spans="1:5">
      <c r="A327" s="28">
        <v>19070567</v>
      </c>
      <c r="B327" s="23">
        <v>0.08</v>
      </c>
      <c r="C327" s="23" t="s">
        <v>590</v>
      </c>
      <c r="D327" s="23">
        <v>0.57999999999999996</v>
      </c>
      <c r="E327" s="26">
        <v>44848</v>
      </c>
    </row>
    <row r="328" spans="1:5">
      <c r="A328" s="28">
        <v>54817616</v>
      </c>
      <c r="B328" s="23">
        <v>0.1</v>
      </c>
      <c r="C328" s="23" t="s">
        <v>592</v>
      </c>
      <c r="D328" s="23">
        <v>0.5</v>
      </c>
      <c r="E328" s="26">
        <v>44848</v>
      </c>
    </row>
    <row r="329" spans="1:5">
      <c r="A329" s="28">
        <v>54819378</v>
      </c>
      <c r="B329" s="23">
        <v>1.4</v>
      </c>
      <c r="C329" s="23" t="s">
        <v>592</v>
      </c>
      <c r="D329" s="23">
        <v>4.5</v>
      </c>
      <c r="E329" s="26">
        <v>44848</v>
      </c>
    </row>
    <row r="330" spans="1:5">
      <c r="A330" s="28">
        <v>54820165</v>
      </c>
      <c r="B330" s="23">
        <v>1.3</v>
      </c>
      <c r="C330" s="23" t="s">
        <v>592</v>
      </c>
      <c r="D330" s="23">
        <v>4.5</v>
      </c>
      <c r="E330" s="26">
        <v>44848</v>
      </c>
    </row>
    <row r="331" spans="1:5">
      <c r="A331" s="28">
        <v>54812467</v>
      </c>
      <c r="B331" s="23">
        <v>0.25</v>
      </c>
      <c r="C331" s="23" t="s">
        <v>592</v>
      </c>
      <c r="D331" s="23">
        <v>1</v>
      </c>
      <c r="E331" s="26">
        <v>44848</v>
      </c>
    </row>
    <row r="332" spans="1:5">
      <c r="A332" s="28">
        <v>54821485</v>
      </c>
      <c r="B332" s="23">
        <v>0.8</v>
      </c>
      <c r="C332" s="23" t="s">
        <v>592</v>
      </c>
      <c r="D332" s="23">
        <v>3</v>
      </c>
      <c r="E332" s="26">
        <v>44848</v>
      </c>
    </row>
    <row r="333" spans="1:5">
      <c r="A333" s="28">
        <v>54822218</v>
      </c>
      <c r="B333" s="23">
        <v>2.25</v>
      </c>
      <c r="C333" s="23" t="s">
        <v>592</v>
      </c>
      <c r="D333" s="23">
        <v>8</v>
      </c>
      <c r="E333" s="26">
        <v>44848</v>
      </c>
    </row>
    <row r="334" spans="1:5">
      <c r="A334" s="28">
        <v>19072649</v>
      </c>
      <c r="B334" s="23">
        <v>0.86</v>
      </c>
      <c r="C334" s="23" t="s">
        <v>593</v>
      </c>
      <c r="D334" s="23">
        <v>6.18</v>
      </c>
      <c r="E334" s="26">
        <v>44848</v>
      </c>
    </row>
    <row r="335" spans="1:5">
      <c r="A335" s="28">
        <v>19072494</v>
      </c>
      <c r="B335" s="23">
        <v>0.64</v>
      </c>
      <c r="C335" s="23" t="s">
        <v>593</v>
      </c>
      <c r="D335" s="23">
        <v>6</v>
      </c>
      <c r="E335" s="26">
        <v>44848</v>
      </c>
    </row>
    <row r="336" spans="1:5">
      <c r="A336" s="28">
        <v>19074838</v>
      </c>
      <c r="B336" s="23">
        <v>1.45</v>
      </c>
      <c r="C336" s="23" t="s">
        <v>593</v>
      </c>
      <c r="D336" s="23">
        <v>10.43</v>
      </c>
      <c r="E336" s="26">
        <v>44848</v>
      </c>
    </row>
    <row r="337" spans="1:5">
      <c r="A337" s="28">
        <v>18988031</v>
      </c>
      <c r="B337" s="23">
        <v>16.98</v>
      </c>
      <c r="C337" s="23" t="s">
        <v>594</v>
      </c>
      <c r="D337" s="23">
        <v>96.62</v>
      </c>
      <c r="E337" s="26">
        <v>44848</v>
      </c>
    </row>
    <row r="338" spans="1:5">
      <c r="A338" s="28">
        <v>54820826</v>
      </c>
      <c r="B338" s="23">
        <v>8.4</v>
      </c>
      <c r="C338" s="23" t="s">
        <v>595</v>
      </c>
      <c r="D338" s="23">
        <v>18</v>
      </c>
      <c r="E338" s="26">
        <v>44848</v>
      </c>
    </row>
    <row r="339" spans="1:5">
      <c r="A339" s="28" t="s">
        <v>603</v>
      </c>
      <c r="B339" s="23"/>
      <c r="C339" s="23"/>
      <c r="D339" s="23">
        <v>12.61</v>
      </c>
      <c r="E339" s="26">
        <v>44841</v>
      </c>
    </row>
    <row r="340" spans="1:5">
      <c r="A340" s="28">
        <v>19075579</v>
      </c>
      <c r="B340" s="23">
        <v>1.41</v>
      </c>
      <c r="C340" s="23" t="s">
        <v>617</v>
      </c>
      <c r="D340" s="23">
        <v>10.14</v>
      </c>
      <c r="E340" s="26">
        <v>44848</v>
      </c>
    </row>
    <row r="341" spans="1:5">
      <c r="A341" s="28">
        <v>19076870</v>
      </c>
      <c r="B341" s="23">
        <v>0.5</v>
      </c>
      <c r="C341" s="23" t="s">
        <v>617</v>
      </c>
      <c r="D341" s="23">
        <v>4</v>
      </c>
      <c r="E341" s="26">
        <v>44848</v>
      </c>
    </row>
    <row r="342" spans="1:5">
      <c r="A342" s="28">
        <v>19078179</v>
      </c>
      <c r="B342" s="23">
        <v>1.1599999999999999</v>
      </c>
      <c r="C342" s="23" t="s">
        <v>617</v>
      </c>
      <c r="D342" s="23">
        <v>8.34</v>
      </c>
      <c r="E342" s="26">
        <v>44848</v>
      </c>
    </row>
    <row r="343" spans="1:5">
      <c r="A343" s="28">
        <v>19079226</v>
      </c>
      <c r="B343" s="23">
        <v>1.3</v>
      </c>
      <c r="C343" s="23" t="s">
        <v>618</v>
      </c>
      <c r="D343" s="23">
        <v>9.35</v>
      </c>
      <c r="E343" s="26">
        <v>44848</v>
      </c>
    </row>
    <row r="344" spans="1:5">
      <c r="A344" s="28">
        <v>19082081</v>
      </c>
      <c r="B344" s="23">
        <v>0.06</v>
      </c>
      <c r="C344" s="23" t="s">
        <v>618</v>
      </c>
      <c r="D344" s="23">
        <v>0.43</v>
      </c>
      <c r="E344" s="26">
        <v>44848</v>
      </c>
    </row>
    <row r="345" spans="1:5">
      <c r="A345" s="28">
        <v>54815412</v>
      </c>
      <c r="B345" s="23">
        <v>8.9</v>
      </c>
      <c r="C345" s="23" t="s">
        <v>619</v>
      </c>
      <c r="D345" s="23">
        <v>18</v>
      </c>
      <c r="E345" s="26">
        <v>44848</v>
      </c>
    </row>
    <row r="346" spans="1:5">
      <c r="A346" s="28">
        <v>54820893</v>
      </c>
      <c r="B346" s="23">
        <v>0.8</v>
      </c>
      <c r="C346" s="23" t="s">
        <v>619</v>
      </c>
      <c r="D346" s="23">
        <v>2</v>
      </c>
      <c r="E346" s="26">
        <v>44848</v>
      </c>
    </row>
    <row r="347" spans="1:5">
      <c r="A347" s="28">
        <v>54842629</v>
      </c>
      <c r="B347" s="23">
        <v>0.4</v>
      </c>
      <c r="C347" s="23" t="s">
        <v>620</v>
      </c>
      <c r="D347" s="23">
        <v>2</v>
      </c>
      <c r="E347" s="26">
        <v>44848</v>
      </c>
    </row>
    <row r="348" spans="1:5">
      <c r="A348" s="28" t="s">
        <v>628</v>
      </c>
      <c r="B348" s="23">
        <v>2.5499999999999998</v>
      </c>
      <c r="C348" s="23" t="s">
        <v>171</v>
      </c>
      <c r="D348" s="23">
        <v>20.149999999999999</v>
      </c>
      <c r="E348" s="26">
        <v>44848</v>
      </c>
    </row>
    <row r="349" spans="1:5">
      <c r="A349" s="28">
        <v>48637</v>
      </c>
      <c r="B349" s="23">
        <v>1.2</v>
      </c>
      <c r="C349" s="23" t="s">
        <v>171</v>
      </c>
      <c r="D349" s="23">
        <v>9.48</v>
      </c>
      <c r="E349" s="26">
        <v>44848</v>
      </c>
    </row>
    <row r="350" spans="1:5">
      <c r="A350" s="28" t="s">
        <v>629</v>
      </c>
      <c r="B350" s="23">
        <v>1.4</v>
      </c>
      <c r="C350" s="23" t="s">
        <v>171</v>
      </c>
      <c r="D350" s="23">
        <v>11.06</v>
      </c>
      <c r="E350" s="26">
        <v>44848</v>
      </c>
    </row>
    <row r="351" spans="1:5">
      <c r="A351" s="28">
        <v>18991483</v>
      </c>
      <c r="B351" s="23">
        <v>0.82</v>
      </c>
      <c r="C351" s="23" t="s">
        <v>645</v>
      </c>
      <c r="D351" s="23">
        <v>5.9</v>
      </c>
      <c r="E351" s="26">
        <v>44856</v>
      </c>
    </row>
    <row r="352" spans="1:5">
      <c r="A352" s="28">
        <v>18991594</v>
      </c>
      <c r="B352" s="23">
        <v>1.74</v>
      </c>
      <c r="C352" s="23" t="s">
        <v>645</v>
      </c>
      <c r="D352" s="23">
        <v>12.51</v>
      </c>
      <c r="E352" s="26">
        <v>44853</v>
      </c>
    </row>
    <row r="353" spans="1:5">
      <c r="A353" s="28">
        <v>19090632</v>
      </c>
      <c r="B353" s="23">
        <v>1.54</v>
      </c>
      <c r="C353" s="23" t="s">
        <v>645</v>
      </c>
      <c r="D353" s="23">
        <v>11.07</v>
      </c>
      <c r="E353" s="26">
        <v>44853</v>
      </c>
    </row>
    <row r="354" spans="1:5">
      <c r="A354" s="28">
        <v>19092801</v>
      </c>
      <c r="B354" s="23">
        <v>0.34</v>
      </c>
      <c r="C354" s="23" t="s">
        <v>646</v>
      </c>
      <c r="D354" s="23">
        <v>2.44</v>
      </c>
      <c r="E354" s="26">
        <v>44853</v>
      </c>
    </row>
    <row r="355" spans="1:5">
      <c r="A355" s="28">
        <v>19094291</v>
      </c>
      <c r="B355" s="23">
        <v>0.34</v>
      </c>
      <c r="C355" s="23" t="s">
        <v>646</v>
      </c>
      <c r="D355" s="23">
        <v>2.44</v>
      </c>
      <c r="E355" s="26">
        <v>44853</v>
      </c>
    </row>
    <row r="356" spans="1:5">
      <c r="A356" s="28">
        <v>19093673</v>
      </c>
      <c r="B356" s="23">
        <v>0.96</v>
      </c>
      <c r="C356" s="23" t="s">
        <v>646</v>
      </c>
      <c r="D356" s="23">
        <v>6.9</v>
      </c>
      <c r="E356" s="26">
        <v>44853</v>
      </c>
    </row>
    <row r="357" spans="1:5">
      <c r="A357" s="28">
        <v>19099871</v>
      </c>
      <c r="B357" s="23">
        <v>0.35</v>
      </c>
      <c r="C357" s="23" t="s">
        <v>646</v>
      </c>
      <c r="D357" s="23">
        <v>2.44</v>
      </c>
      <c r="E357" s="26">
        <v>44853</v>
      </c>
    </row>
    <row r="358" spans="1:5">
      <c r="A358" s="28">
        <v>19104360</v>
      </c>
      <c r="B358" s="23">
        <v>0.45</v>
      </c>
      <c r="C358" s="23" t="s">
        <v>647</v>
      </c>
      <c r="D358" s="23">
        <v>3.24</v>
      </c>
      <c r="E358" s="26">
        <v>44853</v>
      </c>
    </row>
    <row r="359" spans="1:5">
      <c r="A359" s="28">
        <v>19105094</v>
      </c>
      <c r="B359" s="23">
        <v>1.22</v>
      </c>
      <c r="C359" s="23" t="s">
        <v>647</v>
      </c>
      <c r="D359" s="23">
        <v>8.77</v>
      </c>
      <c r="E359" s="26">
        <v>44853</v>
      </c>
    </row>
    <row r="360" spans="1:5">
      <c r="A360" s="28">
        <v>48819</v>
      </c>
      <c r="B360" s="23">
        <v>1.5</v>
      </c>
      <c r="C360" s="23" t="s">
        <v>171</v>
      </c>
      <c r="D360" s="23">
        <v>11.85</v>
      </c>
      <c r="E360" s="26">
        <v>44853</v>
      </c>
    </row>
    <row r="361" spans="1:5">
      <c r="A361" s="28">
        <v>19111099</v>
      </c>
      <c r="B361" s="23">
        <v>1.1200000000000001</v>
      </c>
      <c r="C361" s="23" t="s">
        <v>687</v>
      </c>
      <c r="D361" s="23">
        <v>8.0500000000000007</v>
      </c>
      <c r="E361" s="26">
        <v>44856</v>
      </c>
    </row>
    <row r="362" spans="1:5">
      <c r="A362" s="28">
        <v>19113292</v>
      </c>
      <c r="B362" s="23">
        <v>1.1599999999999999</v>
      </c>
      <c r="C362" s="23" t="s">
        <v>687</v>
      </c>
      <c r="D362" s="23">
        <v>8.34</v>
      </c>
      <c r="E362" s="26">
        <v>44856</v>
      </c>
    </row>
    <row r="363" spans="1:5">
      <c r="A363" s="28">
        <v>19114876</v>
      </c>
      <c r="B363" s="23">
        <v>0.23</v>
      </c>
      <c r="C363" s="23" t="s">
        <v>711</v>
      </c>
      <c r="D363" s="23">
        <v>1.65</v>
      </c>
      <c r="E363" s="26">
        <v>44862</v>
      </c>
    </row>
    <row r="364" spans="1:5">
      <c r="A364" s="28">
        <v>19116623</v>
      </c>
      <c r="B364" s="23">
        <v>1.24</v>
      </c>
      <c r="C364" s="23" t="s">
        <v>711</v>
      </c>
      <c r="D364" s="23">
        <v>8.92</v>
      </c>
      <c r="E364" s="26">
        <v>44862</v>
      </c>
    </row>
    <row r="365" spans="1:5">
      <c r="A365" s="28">
        <v>19118062</v>
      </c>
      <c r="B365" s="23">
        <v>1.19</v>
      </c>
      <c r="C365" s="23" t="s">
        <v>711</v>
      </c>
      <c r="D365" s="23">
        <v>8.56</v>
      </c>
      <c r="E365" s="26">
        <v>44862</v>
      </c>
    </row>
    <row r="366" spans="1:5">
      <c r="A366" s="28">
        <v>19121519</v>
      </c>
      <c r="B366" s="23">
        <v>0.59</v>
      </c>
      <c r="C366" s="23" t="s">
        <v>711</v>
      </c>
      <c r="D366" s="23">
        <v>4.24</v>
      </c>
      <c r="E366" s="26">
        <v>44862</v>
      </c>
    </row>
    <row r="367" spans="1:5">
      <c r="A367" s="28">
        <v>19122263</v>
      </c>
      <c r="B367" s="23">
        <v>0.57999999999999996</v>
      </c>
      <c r="C367" s="23" t="s">
        <v>711</v>
      </c>
      <c r="D367" s="23">
        <v>4.17</v>
      </c>
      <c r="E367" s="26">
        <v>44862</v>
      </c>
    </row>
    <row r="368" spans="1:5">
      <c r="A368" s="28">
        <v>19119438</v>
      </c>
      <c r="B368" s="23">
        <v>1.48</v>
      </c>
      <c r="C368" s="23" t="s">
        <v>712</v>
      </c>
      <c r="D368" s="23">
        <v>10.64</v>
      </c>
      <c r="E368" s="26">
        <v>44862</v>
      </c>
    </row>
    <row r="369" spans="1:5">
      <c r="A369" s="28">
        <v>19121732</v>
      </c>
      <c r="B369" s="23">
        <v>1.5</v>
      </c>
      <c r="C369" s="23" t="s">
        <v>712</v>
      </c>
      <c r="D369" s="23">
        <v>10.8</v>
      </c>
      <c r="E369" s="26">
        <v>44862</v>
      </c>
    </row>
    <row r="370" spans="1:5">
      <c r="A370" s="28">
        <v>19121943</v>
      </c>
      <c r="B370" s="23">
        <v>0.92</v>
      </c>
      <c r="C370" s="23" t="s">
        <v>712</v>
      </c>
      <c r="D370" s="23">
        <v>6.61</v>
      </c>
      <c r="E370" s="26">
        <v>44862</v>
      </c>
    </row>
    <row r="371" spans="1:5">
      <c r="A371" s="28">
        <v>19125162</v>
      </c>
      <c r="B371" s="23">
        <v>1.23</v>
      </c>
      <c r="C371" s="23" t="s">
        <v>712</v>
      </c>
      <c r="D371" s="23">
        <v>8.84</v>
      </c>
      <c r="E371" s="26">
        <v>44862</v>
      </c>
    </row>
    <row r="372" spans="1:5">
      <c r="A372" s="28">
        <v>54892756</v>
      </c>
      <c r="B372" s="23">
        <v>3.2</v>
      </c>
      <c r="C372" s="23" t="s">
        <v>713</v>
      </c>
      <c r="D372" s="23">
        <v>8</v>
      </c>
      <c r="E372" s="26">
        <v>44862</v>
      </c>
    </row>
    <row r="373" spans="1:5">
      <c r="A373" s="28">
        <v>19126372</v>
      </c>
      <c r="B373" s="23">
        <v>0.6</v>
      </c>
      <c r="C373" s="23" t="s">
        <v>725</v>
      </c>
      <c r="D373" s="23">
        <v>4.3099999999999996</v>
      </c>
      <c r="E373" s="26">
        <v>44867</v>
      </c>
    </row>
    <row r="374" spans="1:5">
      <c r="A374" s="28">
        <v>19126123</v>
      </c>
      <c r="B374" s="23">
        <v>1.3</v>
      </c>
      <c r="C374" s="23" t="s">
        <v>725</v>
      </c>
      <c r="D374" s="23">
        <v>9.35</v>
      </c>
      <c r="E374" s="26">
        <v>44867</v>
      </c>
    </row>
    <row r="375" spans="1:5">
      <c r="A375" s="28">
        <v>19126361</v>
      </c>
      <c r="B375" s="23">
        <v>0.38</v>
      </c>
      <c r="C375" s="23" t="s">
        <v>725</v>
      </c>
      <c r="D375" s="23">
        <v>2.73</v>
      </c>
      <c r="E375" s="26">
        <v>44867</v>
      </c>
    </row>
    <row r="376" spans="1:5">
      <c r="A376" s="28">
        <v>19127931</v>
      </c>
      <c r="B376" s="23">
        <v>0.15</v>
      </c>
      <c r="C376" s="23" t="s">
        <v>725</v>
      </c>
      <c r="D376" s="23">
        <v>1.08</v>
      </c>
      <c r="E376" s="26">
        <v>44867</v>
      </c>
    </row>
    <row r="377" spans="1:5">
      <c r="A377" s="28">
        <v>19127930</v>
      </c>
      <c r="B377" s="23">
        <v>0.15</v>
      </c>
      <c r="C377" s="23" t="s">
        <v>725</v>
      </c>
      <c r="D377" s="23">
        <v>1.08</v>
      </c>
      <c r="E377" s="26">
        <v>44867</v>
      </c>
    </row>
    <row r="378" spans="1:5">
      <c r="A378" s="28">
        <v>54898318</v>
      </c>
      <c r="B378" s="23">
        <v>6.3</v>
      </c>
      <c r="C378" s="23" t="s">
        <v>726</v>
      </c>
      <c r="D378" s="23">
        <v>14.49</v>
      </c>
      <c r="E378" s="26">
        <v>44865</v>
      </c>
    </row>
    <row r="379" spans="1:5">
      <c r="A379" s="28">
        <v>54892393</v>
      </c>
      <c r="B379" s="23">
        <v>0.3</v>
      </c>
      <c r="C379" s="23" t="s">
        <v>726</v>
      </c>
      <c r="D379" s="23">
        <v>1.38</v>
      </c>
      <c r="E379" s="26">
        <v>44865</v>
      </c>
    </row>
    <row r="380" spans="1:5">
      <c r="A380" s="28">
        <v>54896914</v>
      </c>
      <c r="B380" s="23">
        <v>1.2</v>
      </c>
      <c r="C380" s="23" t="s">
        <v>726</v>
      </c>
      <c r="D380" s="23">
        <v>2.76</v>
      </c>
      <c r="E380" s="26">
        <v>44865</v>
      </c>
    </row>
    <row r="381" spans="1:5">
      <c r="A381" s="28">
        <v>54894766</v>
      </c>
      <c r="B381" s="23">
        <v>4</v>
      </c>
      <c r="C381" s="23" t="s">
        <v>726</v>
      </c>
      <c r="D381" s="23">
        <v>9.1999999999999993</v>
      </c>
      <c r="E381" s="26">
        <v>44865</v>
      </c>
    </row>
    <row r="382" spans="1:5">
      <c r="A382" s="28">
        <v>19130707</v>
      </c>
      <c r="B382" s="23">
        <v>1.78</v>
      </c>
      <c r="C382" s="23" t="s">
        <v>727</v>
      </c>
      <c r="D382" s="23">
        <v>12.8</v>
      </c>
      <c r="E382" s="26">
        <v>44867</v>
      </c>
    </row>
    <row r="383" spans="1:5">
      <c r="A383" s="28">
        <v>19131153</v>
      </c>
      <c r="B383" s="23">
        <v>0.88</v>
      </c>
      <c r="C383" s="23" t="s">
        <v>727</v>
      </c>
      <c r="D383" s="23">
        <v>6.33</v>
      </c>
      <c r="E383" s="26">
        <v>44867</v>
      </c>
    </row>
    <row r="384" spans="1:5">
      <c r="A384" s="28" t="s">
        <v>740</v>
      </c>
      <c r="B384" s="23">
        <v>1.7</v>
      </c>
      <c r="C384" s="23" t="s">
        <v>171</v>
      </c>
      <c r="D384" s="23">
        <v>13.43</v>
      </c>
      <c r="E384" s="26">
        <v>44865</v>
      </c>
    </row>
    <row r="385" spans="1:5">
      <c r="A385" s="28">
        <v>19137090</v>
      </c>
      <c r="B385" s="23">
        <v>0.66</v>
      </c>
      <c r="C385" s="23" t="s">
        <v>744</v>
      </c>
      <c r="D385" s="23">
        <v>4.75</v>
      </c>
      <c r="E385" s="26">
        <v>44867</v>
      </c>
    </row>
    <row r="386" spans="1:5">
      <c r="A386" s="28">
        <v>19136496</v>
      </c>
      <c r="B386" s="23">
        <v>0.78</v>
      </c>
      <c r="C386" s="23" t="s">
        <v>744</v>
      </c>
      <c r="D386" s="23">
        <v>5.61</v>
      </c>
      <c r="E386" s="26">
        <v>44867</v>
      </c>
    </row>
    <row r="387" spans="1:5">
      <c r="A387" s="28">
        <v>19136832</v>
      </c>
      <c r="B387" s="23">
        <v>1.25</v>
      </c>
      <c r="C387" s="23" t="s">
        <v>744</v>
      </c>
      <c r="D387" s="23">
        <v>8.99</v>
      </c>
      <c r="E387" s="26">
        <v>44867</v>
      </c>
    </row>
    <row r="388" spans="1:5">
      <c r="A388" s="28">
        <v>19136546</v>
      </c>
      <c r="B388" s="23">
        <v>0.18</v>
      </c>
      <c r="C388" s="23" t="s">
        <v>744</v>
      </c>
      <c r="D388" s="23">
        <v>1.29</v>
      </c>
      <c r="E388" s="26">
        <v>44867</v>
      </c>
    </row>
    <row r="389" spans="1:5">
      <c r="A389" s="28">
        <v>19140396</v>
      </c>
      <c r="B389" s="23">
        <v>0.7</v>
      </c>
      <c r="C389" s="23" t="s">
        <v>745</v>
      </c>
      <c r="D389" s="23">
        <v>5.03</v>
      </c>
      <c r="E389" s="26">
        <v>44867</v>
      </c>
    </row>
    <row r="390" spans="1:5">
      <c r="A390" s="28">
        <v>19143172</v>
      </c>
      <c r="B390" s="23">
        <v>1.18</v>
      </c>
      <c r="C390" s="23" t="s">
        <v>745</v>
      </c>
      <c r="D390" s="23">
        <v>8.48</v>
      </c>
      <c r="E390" s="26">
        <v>44867</v>
      </c>
    </row>
    <row r="391" spans="1:5">
      <c r="A391" s="28">
        <v>19144333</v>
      </c>
      <c r="B391" s="23">
        <v>2.62</v>
      </c>
      <c r="C391" s="23" t="s">
        <v>745</v>
      </c>
      <c r="D391" s="23">
        <v>18.84</v>
      </c>
      <c r="E391" s="26">
        <v>44867</v>
      </c>
    </row>
    <row r="392" spans="1:5">
      <c r="A392" s="28">
        <v>19144331</v>
      </c>
      <c r="B392" s="23">
        <v>2.9</v>
      </c>
      <c r="C392" s="23" t="s">
        <v>745</v>
      </c>
      <c r="D392" s="23">
        <v>20.85</v>
      </c>
      <c r="E392" s="26">
        <v>44867</v>
      </c>
    </row>
    <row r="393" spans="1:5">
      <c r="A393" s="28">
        <v>19145349</v>
      </c>
      <c r="B393" s="23">
        <v>0.3</v>
      </c>
      <c r="C393" s="23" t="s">
        <v>745</v>
      </c>
      <c r="D393" s="23">
        <v>2.16</v>
      </c>
      <c r="E393" s="26">
        <v>44867</v>
      </c>
    </row>
    <row r="394" spans="1:5">
      <c r="A394" s="28">
        <v>19146128</v>
      </c>
      <c r="B394" s="23">
        <v>1.68</v>
      </c>
      <c r="C394" s="23" t="s">
        <v>745</v>
      </c>
      <c r="D394" s="23">
        <v>12.08</v>
      </c>
      <c r="E394" s="26">
        <v>44867</v>
      </c>
    </row>
    <row r="395" spans="1:5">
      <c r="A395" s="28">
        <v>19145526</v>
      </c>
      <c r="B395" s="23">
        <v>0.19</v>
      </c>
      <c r="C395" s="23" t="s">
        <v>745</v>
      </c>
      <c r="D395" s="23">
        <v>1.37</v>
      </c>
      <c r="E395" s="26">
        <v>44867</v>
      </c>
    </row>
    <row r="396" spans="1:5">
      <c r="A396" s="28">
        <v>19046913</v>
      </c>
      <c r="B396" s="23">
        <v>0.18</v>
      </c>
      <c r="C396" s="23" t="s">
        <v>746</v>
      </c>
      <c r="D396" s="23">
        <v>1.02</v>
      </c>
      <c r="E396" s="26">
        <v>44867</v>
      </c>
    </row>
    <row r="397" spans="1:5">
      <c r="A397" s="28">
        <v>19052518</v>
      </c>
      <c r="B397" s="23">
        <v>0.73</v>
      </c>
      <c r="C397" s="23" t="s">
        <v>746</v>
      </c>
      <c r="D397" s="23">
        <v>4.1500000000000004</v>
      </c>
      <c r="E397" s="26">
        <v>44867</v>
      </c>
    </row>
    <row r="398" spans="1:5">
      <c r="A398" s="28">
        <v>54917147</v>
      </c>
      <c r="B398" s="23">
        <v>0.3</v>
      </c>
      <c r="C398" s="23" t="s">
        <v>782</v>
      </c>
      <c r="D398" s="23">
        <v>1</v>
      </c>
      <c r="E398" s="26">
        <v>44872</v>
      </c>
    </row>
    <row r="399" spans="1:5">
      <c r="A399" s="28">
        <v>54913483</v>
      </c>
      <c r="B399" s="23">
        <v>0.3</v>
      </c>
      <c r="C399" s="23" t="s">
        <v>782</v>
      </c>
      <c r="D399" s="23">
        <v>1</v>
      </c>
      <c r="E399" s="26">
        <v>44872</v>
      </c>
    </row>
    <row r="400" spans="1:5">
      <c r="A400" s="28">
        <v>19140783</v>
      </c>
      <c r="B400" s="23">
        <v>0.1</v>
      </c>
      <c r="C400" s="23" t="s">
        <v>783</v>
      </c>
      <c r="D400" s="23">
        <v>0.72</v>
      </c>
      <c r="E400" s="26">
        <v>44872</v>
      </c>
    </row>
    <row r="401" spans="1:5">
      <c r="A401" s="28">
        <v>19140747</v>
      </c>
      <c r="B401" s="23">
        <v>0.1</v>
      </c>
      <c r="C401" s="23" t="s">
        <v>783</v>
      </c>
      <c r="D401" s="23">
        <v>0.72</v>
      </c>
      <c r="E401" s="26">
        <v>44872</v>
      </c>
    </row>
    <row r="402" spans="1:5">
      <c r="A402" s="28">
        <v>19142762</v>
      </c>
      <c r="B402" s="23">
        <v>0.23</v>
      </c>
      <c r="C402" s="23" t="s">
        <v>783</v>
      </c>
      <c r="D402" s="23">
        <v>1.65</v>
      </c>
      <c r="E402" s="26">
        <v>44872</v>
      </c>
    </row>
    <row r="403" spans="1:5">
      <c r="A403" s="28">
        <v>19147009</v>
      </c>
      <c r="B403" s="23">
        <v>1.1399999999999999</v>
      </c>
      <c r="C403" s="23" t="s">
        <v>783</v>
      </c>
      <c r="D403" s="23">
        <v>8.1999999999999993</v>
      </c>
      <c r="E403" s="26">
        <v>44872</v>
      </c>
    </row>
    <row r="404" spans="1:5">
      <c r="A404" s="28">
        <v>19148275</v>
      </c>
      <c r="B404" s="23">
        <v>1.38</v>
      </c>
      <c r="C404" s="23" t="s">
        <v>783</v>
      </c>
      <c r="D404" s="23">
        <v>9.92</v>
      </c>
      <c r="E404" s="26">
        <v>44872</v>
      </c>
    </row>
    <row r="405" spans="1:5">
      <c r="A405" s="28">
        <v>19150215</v>
      </c>
      <c r="B405" s="23">
        <v>0.92</v>
      </c>
      <c r="C405" s="23" t="s">
        <v>783</v>
      </c>
      <c r="D405" s="23">
        <v>6.61</v>
      </c>
      <c r="E405" s="26">
        <v>44872</v>
      </c>
    </row>
    <row r="406" spans="1:5">
      <c r="A406" s="28">
        <v>54926895</v>
      </c>
      <c r="B406" s="23">
        <v>1.6</v>
      </c>
      <c r="C406" s="23" t="s">
        <v>784</v>
      </c>
      <c r="D406" s="23">
        <v>3</v>
      </c>
      <c r="E406" s="26">
        <v>44872</v>
      </c>
    </row>
    <row r="407" spans="1:5">
      <c r="A407" s="23">
        <v>19155784</v>
      </c>
      <c r="B407" s="23">
        <v>0.16</v>
      </c>
      <c r="C407" s="23" t="s">
        <v>788</v>
      </c>
      <c r="D407" s="23">
        <v>1.1499999999999999</v>
      </c>
      <c r="E407" s="23"/>
    </row>
    <row r="408" spans="1:5">
      <c r="A408" s="23">
        <v>19158234</v>
      </c>
      <c r="B408" s="23">
        <v>2.7</v>
      </c>
      <c r="C408" s="23" t="s">
        <v>788</v>
      </c>
      <c r="D408" s="23">
        <v>19.41</v>
      </c>
      <c r="E408" s="23"/>
    </row>
    <row r="409" spans="1:5">
      <c r="A409" s="23">
        <v>19159469</v>
      </c>
      <c r="B409" s="23">
        <v>0.23</v>
      </c>
      <c r="C409" s="23" t="s">
        <v>788</v>
      </c>
      <c r="D409" s="23">
        <v>1.65</v>
      </c>
      <c r="E409" s="23"/>
    </row>
    <row r="410" spans="1:5">
      <c r="A410" s="23">
        <v>19161600</v>
      </c>
      <c r="B410" s="23">
        <v>10.039999999999999</v>
      </c>
      <c r="C410" s="23" t="s">
        <v>788</v>
      </c>
      <c r="D410" s="23">
        <v>72.19</v>
      </c>
      <c r="E410" s="23"/>
    </row>
    <row r="411" spans="1:5">
      <c r="A411" s="28">
        <v>19146204</v>
      </c>
      <c r="B411" s="23">
        <v>0.18</v>
      </c>
      <c r="C411" s="23" t="s">
        <v>796</v>
      </c>
      <c r="D411" s="23">
        <v>1.29</v>
      </c>
      <c r="E411" s="26">
        <v>44872</v>
      </c>
    </row>
    <row r="412" spans="1:5">
      <c r="A412" s="28">
        <v>19151723</v>
      </c>
      <c r="B412" s="23">
        <v>1.41</v>
      </c>
      <c r="C412" s="23" t="s">
        <v>796</v>
      </c>
      <c r="D412" s="23">
        <v>10.14</v>
      </c>
      <c r="E412" s="26">
        <v>44872</v>
      </c>
    </row>
    <row r="413" spans="1:5">
      <c r="A413" s="28">
        <v>19152630</v>
      </c>
      <c r="B413" s="23">
        <v>0.25</v>
      </c>
      <c r="C413" s="23" t="s">
        <v>796</v>
      </c>
      <c r="D413" s="23">
        <v>1.8</v>
      </c>
      <c r="E413" s="26">
        <v>44872</v>
      </c>
    </row>
    <row r="414" spans="1:5">
      <c r="A414" s="28">
        <v>19152762</v>
      </c>
      <c r="B414" s="23">
        <v>0.54</v>
      </c>
      <c r="C414" s="23" t="s">
        <v>796</v>
      </c>
      <c r="D414" s="23">
        <v>3.88</v>
      </c>
      <c r="E414" s="26">
        <v>44872</v>
      </c>
    </row>
    <row r="415" spans="1:5">
      <c r="A415" s="28">
        <v>19156763</v>
      </c>
      <c r="B415" s="23">
        <v>0.14000000000000001</v>
      </c>
      <c r="C415" s="23" t="s">
        <v>796</v>
      </c>
      <c r="D415" s="23">
        <v>1.01</v>
      </c>
      <c r="E415" s="26">
        <v>44872</v>
      </c>
    </row>
    <row r="416" spans="1:5">
      <c r="A416" s="28" t="s">
        <v>603</v>
      </c>
      <c r="B416" s="23"/>
      <c r="C416" s="23"/>
      <c r="D416" s="23">
        <v>12.43</v>
      </c>
      <c r="E416" s="26">
        <v>44872</v>
      </c>
    </row>
    <row r="417" spans="1:5">
      <c r="A417" s="28" t="s">
        <v>797</v>
      </c>
      <c r="B417" s="23">
        <v>0.35</v>
      </c>
      <c r="C417" s="23"/>
      <c r="D417" s="23">
        <v>2.77</v>
      </c>
      <c r="E417" s="26">
        <v>44872</v>
      </c>
    </row>
    <row r="418" spans="1:5">
      <c r="A418" s="23"/>
      <c r="B418" s="23"/>
      <c r="C418" s="23"/>
      <c r="D418" s="23"/>
      <c r="E418" s="23"/>
    </row>
    <row r="419" spans="1:5">
      <c r="A419" s="23"/>
      <c r="B419" s="23"/>
      <c r="C419" s="23"/>
      <c r="D419" s="23"/>
      <c r="E419" s="23"/>
    </row>
    <row r="420" spans="1:5">
      <c r="A420" s="23"/>
      <c r="B420" s="23"/>
      <c r="C420" s="23"/>
      <c r="D420" s="23"/>
      <c r="E420" s="23"/>
    </row>
    <row r="421" spans="1:5">
      <c r="A421" s="23"/>
      <c r="B421" s="23"/>
      <c r="C421" s="23"/>
      <c r="D421" s="23"/>
      <c r="E421" s="23"/>
    </row>
    <row r="422" spans="1:5">
      <c r="A422" s="23"/>
      <c r="B422" s="23"/>
      <c r="C422" s="23"/>
      <c r="D422" s="23"/>
      <c r="E422" s="23"/>
    </row>
    <row r="1048576" spans="3:3">
      <c r="C1048576" s="23" t="s">
        <v>783</v>
      </c>
    </row>
  </sheetData>
  <autoFilter ref="A1:E95"/>
  <phoneticPr fontId="6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4"/>
  <sheetViews>
    <sheetView topLeftCell="A52" workbookViewId="0">
      <selection activeCell="A63" sqref="A63"/>
    </sheetView>
  </sheetViews>
  <sheetFormatPr defaultRowHeight="15"/>
  <cols>
    <col min="1" max="1" width="19.5703125" customWidth="1"/>
    <col min="2" max="2" width="10" style="51" customWidth="1"/>
  </cols>
  <sheetData>
    <row r="1" spans="1:2" ht="15.75" thickBot="1">
      <c r="A1" s="10" t="s">
        <v>2</v>
      </c>
      <c r="B1" s="49" t="s">
        <v>555</v>
      </c>
    </row>
    <row r="2" spans="1:2">
      <c r="A2" s="52" t="s">
        <v>274</v>
      </c>
      <c r="B2" s="50">
        <f>SUMIF(Main!C:C,A2,Main!P:P)</f>
        <v>0.43899999999999295</v>
      </c>
    </row>
    <row r="3" spans="1:2">
      <c r="A3" s="52" t="s">
        <v>577</v>
      </c>
      <c r="B3" s="50">
        <f>SUMIF(Main!C:C,A3,Main!P:P)</f>
        <v>0</v>
      </c>
    </row>
    <row r="4" spans="1:2">
      <c r="A4" s="52" t="s">
        <v>412</v>
      </c>
      <c r="B4" s="50">
        <f>SUMIF(Main!C:C,A4,Main!P:P)</f>
        <v>0</v>
      </c>
    </row>
    <row r="5" spans="1:2">
      <c r="A5" s="52" t="s">
        <v>323</v>
      </c>
      <c r="B5" s="50">
        <f>SUMIF(Main!C:C,A5,Main!P:P)</f>
        <v>0</v>
      </c>
    </row>
    <row r="6" spans="1:2">
      <c r="A6" s="52" t="s">
        <v>472</v>
      </c>
      <c r="B6" s="50">
        <f>SUMIF(Main!C:C,A6,Main!P:P)</f>
        <v>-0.46499999999999631</v>
      </c>
    </row>
    <row r="7" spans="1:2">
      <c r="A7" s="3" t="s">
        <v>516</v>
      </c>
      <c r="B7" s="50">
        <f>SUMIF(Main!C:C,A7,Main!P:P)</f>
        <v>0</v>
      </c>
    </row>
    <row r="8" spans="1:2">
      <c r="A8" s="3" t="s">
        <v>18</v>
      </c>
      <c r="B8" s="50">
        <f>SUMIF(Main!C:C,A8,Main!P:P)</f>
        <v>-34.136000000000195</v>
      </c>
    </row>
    <row r="9" spans="1:2">
      <c r="A9" s="3" t="s">
        <v>474</v>
      </c>
      <c r="B9" s="50">
        <f>SUMIF(Main!C:C,A9,Main!P:P)</f>
        <v>0</v>
      </c>
    </row>
    <row r="10" spans="1:2">
      <c r="A10" s="3" t="s">
        <v>81</v>
      </c>
      <c r="B10" s="50">
        <f>SUMIF(Main!C:C,A10,Main!P:P)</f>
        <v>-5.0000000000238742E-3</v>
      </c>
    </row>
    <row r="11" spans="1:2">
      <c r="A11" s="3" t="s">
        <v>84</v>
      </c>
      <c r="B11" s="50">
        <f>SUMIF(Main!C:C,A11,Main!P:P)</f>
        <v>-7.0000000000152163E-3</v>
      </c>
    </row>
    <row r="12" spans="1:2">
      <c r="A12" s="3" t="s">
        <v>248</v>
      </c>
      <c r="B12" s="50">
        <f>SUMIF(Main!C:C,A12,Main!P:P)</f>
        <v>1.7409999999999997</v>
      </c>
    </row>
    <row r="13" spans="1:2">
      <c r="A13" s="3" t="s">
        <v>559</v>
      </c>
      <c r="B13" s="50">
        <f>SUMIF(Main!C:C,A13,Main!P:P)</f>
        <v>0.29999999999998295</v>
      </c>
    </row>
    <row r="14" spans="1:2">
      <c r="A14" s="3" t="s">
        <v>57</v>
      </c>
      <c r="B14" s="50">
        <f>SUMIF(Main!C:C,A14,Main!P:P)</f>
        <v>-0.3960000000000008</v>
      </c>
    </row>
    <row r="15" spans="1:2">
      <c r="A15" s="3" t="s">
        <v>509</v>
      </c>
      <c r="B15" s="50">
        <f>SUMIF(Main!C:C,A15,Main!P:P)</f>
        <v>0</v>
      </c>
    </row>
    <row r="16" spans="1:2">
      <c r="A16" s="3" t="s">
        <v>294</v>
      </c>
      <c r="B16" s="50">
        <f>SUMIF(Main!C:C,A16,Main!P:P)</f>
        <v>-0.60900000000001597</v>
      </c>
    </row>
    <row r="17" spans="1:2">
      <c r="A17" s="3" t="s">
        <v>185</v>
      </c>
      <c r="B17" s="50">
        <f>SUMIF(Main!C:C,A17,Main!P:P)</f>
        <v>-49.44</v>
      </c>
    </row>
    <row r="18" spans="1:2">
      <c r="A18" s="3" t="s">
        <v>512</v>
      </c>
      <c r="B18" s="50">
        <f>SUMIF(Main!C:C,A18,Main!P:P)</f>
        <v>0</v>
      </c>
    </row>
    <row r="19" spans="1:2">
      <c r="A19" s="3" t="s">
        <v>226</v>
      </c>
      <c r="B19" s="50">
        <f>SUMIF(Main!C:C,A19,Main!P:P)</f>
        <v>75.308199999999999</v>
      </c>
    </row>
    <row r="20" spans="1:2">
      <c r="A20" s="3" t="s">
        <v>109</v>
      </c>
      <c r="B20" s="50">
        <f>SUMIF(Main!C:C,A20,Main!P:P)</f>
        <v>-1.6799999999999926</v>
      </c>
    </row>
    <row r="21" spans="1:2">
      <c r="A21" s="3" t="s">
        <v>166</v>
      </c>
      <c r="B21" s="50">
        <f>SUMIF(Main!C:C,A21,Main!P:P)</f>
        <v>-9.9000000000017963E-2</v>
      </c>
    </row>
    <row r="22" spans="1:2">
      <c r="A22" s="3" t="s">
        <v>137</v>
      </c>
      <c r="B22" s="50">
        <f>SUMIF(Main!C:C,A22,Main!P:P)</f>
        <v>0</v>
      </c>
    </row>
    <row r="23" spans="1:2">
      <c r="A23" s="3" t="s">
        <v>42</v>
      </c>
      <c r="B23" s="50">
        <f>SUMIF(Main!C:C,A23,Main!P:P)</f>
        <v>-1.1069999999999993</v>
      </c>
    </row>
    <row r="24" spans="1:2">
      <c r="A24" s="3" t="s">
        <v>609</v>
      </c>
      <c r="B24" s="50">
        <f>SUMIF(Main!C:C,A24,Main!P:P)</f>
        <v>-9.6000000000003638E-2</v>
      </c>
    </row>
    <row r="25" spans="1:2">
      <c r="A25" s="3" t="s">
        <v>126</v>
      </c>
      <c r="B25" s="50">
        <f>SUMIF(Main!C:C,A25,Main!P:P)</f>
        <v>-8.0000000000310934E-3</v>
      </c>
    </row>
    <row r="26" spans="1:2">
      <c r="A26" s="3" t="s">
        <v>64</v>
      </c>
      <c r="B26" s="50">
        <f>SUMIF(Main!C:C,A26,Main!P:P)</f>
        <v>-8.5980000000000416</v>
      </c>
    </row>
    <row r="27" spans="1:2">
      <c r="A27" s="3" t="s">
        <v>32</v>
      </c>
      <c r="B27" s="50">
        <f>SUMIF(Main!C:C,A27,Main!P:P)</f>
        <v>-64.859999999999985</v>
      </c>
    </row>
    <row r="28" spans="1:2">
      <c r="A28" s="3" t="s">
        <v>145</v>
      </c>
      <c r="B28" s="50">
        <f>SUMIF(Main!C:C,A28,Main!P:P)</f>
        <v>-1.9999999999971152E-3</v>
      </c>
    </row>
    <row r="29" spans="1:2">
      <c r="A29" s="3" t="s">
        <v>153</v>
      </c>
      <c r="B29" s="50">
        <f>SUMIF(Main!C:C,A29,Main!P:P)</f>
        <v>6.2060000000000457</v>
      </c>
    </row>
    <row r="30" spans="1:2">
      <c r="A30" s="3" t="s">
        <v>76</v>
      </c>
      <c r="B30" s="50">
        <f>SUMIF(Main!C:C,A30,Main!P:P)</f>
        <v>-0.40699999999998226</v>
      </c>
    </row>
    <row r="31" spans="1:2">
      <c r="A31" s="3" t="s">
        <v>614</v>
      </c>
      <c r="B31" s="50">
        <f>SUMIF(Main!C:C,A31,Main!P:P)</f>
        <v>-0.73400000000000176</v>
      </c>
    </row>
    <row r="32" spans="1:2">
      <c r="A32" s="3" t="s">
        <v>119</v>
      </c>
      <c r="B32" s="50">
        <f>SUMIF(Main!C:C,A32,Main!P:P)</f>
        <v>-3.9999999999054126E-3</v>
      </c>
    </row>
    <row r="33" spans="1:2">
      <c r="A33" s="3" t="s">
        <v>44</v>
      </c>
      <c r="B33" s="50">
        <f>SUMIF(Main!C:C,A33,Main!P:P)</f>
        <v>-386.39700000000011</v>
      </c>
    </row>
    <row r="34" spans="1:2">
      <c r="A34" s="3" t="s">
        <v>141</v>
      </c>
      <c r="B34" s="50">
        <f>SUMIF(Main!C:C,A34,Main!P:P)</f>
        <v>-8.0000000000381988E-3</v>
      </c>
    </row>
    <row r="35" spans="1:2">
      <c r="A35" s="3" t="s">
        <v>195</v>
      </c>
      <c r="B35" s="50">
        <f>SUMIF(Main!C:C,A35,Main!P:P)</f>
        <v>8.2999999999998408E-2</v>
      </c>
    </row>
    <row r="36" spans="1:2">
      <c r="A36" s="3" t="s">
        <v>506</v>
      </c>
      <c r="B36" s="50">
        <f>SUMIF(Main!C:C,A36,Main!P:P)</f>
        <v>-5.894999999999996</v>
      </c>
    </row>
    <row r="37" spans="1:2">
      <c r="A37" s="40" t="s">
        <v>418</v>
      </c>
      <c r="B37" s="50">
        <f>SUMIF(Main!C:C,A37,Main!P:P)</f>
        <v>0</v>
      </c>
    </row>
    <row r="38" spans="1:2">
      <c r="A38" s="3" t="s">
        <v>262</v>
      </c>
      <c r="B38" s="50">
        <f>SUMIF(Main!C:C,A38,Main!P:P)</f>
        <v>0.56299999999998818</v>
      </c>
    </row>
    <row r="39" spans="1:2">
      <c r="A39" s="3" t="s">
        <v>61</v>
      </c>
      <c r="B39" s="50">
        <f>SUMIF(Main!C:C,A39,Main!P:P)</f>
        <v>-678.59199999999998</v>
      </c>
    </row>
    <row r="40" spans="1:2">
      <c r="A40" s="3" t="s">
        <v>69</v>
      </c>
      <c r="B40" s="50">
        <f>SUMIF(Main!C:C,A40,Main!P:P)</f>
        <v>52.368000000000137</v>
      </c>
    </row>
    <row r="41" spans="1:2">
      <c r="A41" s="40" t="s">
        <v>424</v>
      </c>
      <c r="B41" s="50">
        <f>SUMIF(Main!C:C,A41,Main!P:P)</f>
        <v>0</v>
      </c>
    </row>
    <row r="42" spans="1:2">
      <c r="A42" s="3" t="s">
        <v>199</v>
      </c>
      <c r="B42" s="50">
        <f>SUMIF(Main!C:C,A42,Main!P:P)</f>
        <v>0</v>
      </c>
    </row>
    <row r="43" spans="1:2">
      <c r="A43" s="3" t="s">
        <v>637</v>
      </c>
      <c r="B43" s="50">
        <f>SUMIF(Main!C:C,A43,Main!P:P)</f>
        <v>-12.215000000000003</v>
      </c>
    </row>
    <row r="44" spans="1:2">
      <c r="A44" s="3" t="s">
        <v>39</v>
      </c>
      <c r="B44" s="50">
        <f>SUMIF(Main!C:C,A44,Main!P:P)</f>
        <v>-83.493999999999943</v>
      </c>
    </row>
    <row r="45" spans="1:2">
      <c r="A45" s="3" t="s">
        <v>132</v>
      </c>
      <c r="B45" s="50">
        <f>SUMIF(Main!C:C,A45,Main!P:P)</f>
        <v>-58.511999999999965</v>
      </c>
    </row>
    <row r="46" spans="1:2">
      <c r="A46" s="3" t="s">
        <v>28</v>
      </c>
      <c r="B46" s="50">
        <f>SUMIF(Main!C:C,A46,Main!P:P)</f>
        <v>-582.19700000000057</v>
      </c>
    </row>
    <row r="47" spans="1:2">
      <c r="A47" s="3" t="s">
        <v>232</v>
      </c>
      <c r="B47" s="50">
        <f>SUMIF(Main!C:C,A47,Main!P:P)</f>
        <v>-109.00700000000002</v>
      </c>
    </row>
    <row r="48" spans="1:2">
      <c r="A48" s="3" t="s">
        <v>328</v>
      </c>
      <c r="B48" s="50">
        <f>SUMIF(Main!C:C,A48,Main!P:P)</f>
        <v>-66</v>
      </c>
    </row>
    <row r="49" spans="1:2">
      <c r="A49" s="3" t="s">
        <v>640</v>
      </c>
      <c r="B49" s="50">
        <f>SUMIF(Main!C:C,A49,Main!P:P)</f>
        <v>-123.15800000000002</v>
      </c>
    </row>
    <row r="50" spans="1:2">
      <c r="A50" s="3" t="s">
        <v>158</v>
      </c>
      <c r="B50" s="50">
        <f>SUMIF(Main!C:C,A50,Main!P:P)</f>
        <v>0.6260000000000332</v>
      </c>
    </row>
    <row r="51" spans="1:2">
      <c r="A51" s="3" t="s">
        <v>287</v>
      </c>
      <c r="B51" s="50">
        <f>SUMIF(Main!C:C,A51,Main!P:P)</f>
        <v>-0.40000000000000568</v>
      </c>
    </row>
    <row r="52" spans="1:2">
      <c r="A52" s="3" t="s">
        <v>116</v>
      </c>
      <c r="B52" s="50">
        <f>SUMIF(Main!C:C,A52,Main!P:P)</f>
        <v>3.9999999999977831E-3</v>
      </c>
    </row>
    <row r="53" spans="1:2">
      <c r="A53" s="3" t="s">
        <v>104</v>
      </c>
      <c r="B53" s="50">
        <f>SUMIF(Main!C:C,A53,Main!P:P)</f>
        <v>0.6300000000000523</v>
      </c>
    </row>
    <row r="54" spans="1:2">
      <c r="A54" s="3" t="s">
        <v>635</v>
      </c>
      <c r="B54" s="50">
        <f>SUMIF(Main!C:C,A54,Main!P:P)</f>
        <v>136.10000000000002</v>
      </c>
    </row>
    <row r="55" spans="1:2">
      <c r="A55" s="3" t="s">
        <v>268</v>
      </c>
      <c r="B55" s="50">
        <f>SUMIF(Main!C:C,A55,Main!P:P)</f>
        <v>1.9999999999953388E-3</v>
      </c>
    </row>
    <row r="56" spans="1:2">
      <c r="A56" s="3" t="s">
        <v>89</v>
      </c>
      <c r="B56" s="50">
        <f>SUMIF(Main!C:C,A56,Main!P:P)</f>
        <v>12.231999999999971</v>
      </c>
    </row>
    <row r="57" spans="1:2">
      <c r="A57" s="3" t="s">
        <v>497</v>
      </c>
      <c r="B57" s="50">
        <f>SUMIF(Main!C:C,A57,Main!P:P)</f>
        <v>28.853999999999985</v>
      </c>
    </row>
    <row r="58" spans="1:2">
      <c r="A58" s="3" t="s">
        <v>673</v>
      </c>
      <c r="B58" s="50">
        <f>SUMIF(Main!C:C,A58,Main!P:P)</f>
        <v>-7.6999999999998181E-2</v>
      </c>
    </row>
    <row r="59" spans="1:2">
      <c r="A59" s="3" t="s">
        <v>774</v>
      </c>
      <c r="B59" s="50">
        <f>SUMIF(Main!C:C,A59,Main!P:P)</f>
        <v>-13</v>
      </c>
    </row>
    <row r="60" spans="1:2">
      <c r="A60" s="3" t="s">
        <v>750</v>
      </c>
      <c r="B60" s="50">
        <f>SUMIF(Main!C:C,A60,Main!P:P)</f>
        <v>0.56499999999999773</v>
      </c>
    </row>
    <row r="61" spans="1:2">
      <c r="A61" s="85" t="s">
        <v>831</v>
      </c>
      <c r="B61" s="50">
        <v>-10</v>
      </c>
    </row>
    <row r="62" spans="1:2">
      <c r="A62" s="23" t="s">
        <v>833</v>
      </c>
      <c r="B62" s="50">
        <v>2</v>
      </c>
    </row>
    <row r="63" spans="1:2">
      <c r="A63" s="85" t="s">
        <v>840</v>
      </c>
      <c r="B63" s="50">
        <v>3</v>
      </c>
    </row>
    <row r="64" spans="1:2">
      <c r="B64" s="84"/>
    </row>
  </sheetData>
  <conditionalFormatting sqref="A49">
    <cfRule type="timePeriod" dxfId="2" priority="1" timePeriod="yesterday">
      <formula>FLOOR(A49,1)=TODAY()-1</formula>
    </cfRule>
  </conditionalFormatting>
  <conditionalFormatting sqref="A46">
    <cfRule type="timePeriod" dxfId="1" priority="3" timePeriod="yesterday">
      <formula>FLOOR(A46,1)=TODAY()-1</formula>
    </cfRule>
  </conditionalFormatting>
  <conditionalFormatting sqref="A48">
    <cfRule type="timePeriod" dxfId="0" priority="2" timePeriod="yesterday">
      <formula>FLOOR(A48,1)=TODAY()-1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H19" sqref="G19:H19"/>
    </sheetView>
  </sheetViews>
  <sheetFormatPr defaultRowHeight="15"/>
  <cols>
    <col min="1" max="1" width="26.28515625" bestFit="1" customWidth="1"/>
    <col min="2" max="2" width="50.42578125" bestFit="1" customWidth="1"/>
  </cols>
  <sheetData>
    <row r="1" spans="1:2" ht="15.75" thickBot="1">
      <c r="A1" s="10" t="s">
        <v>2</v>
      </c>
      <c r="B1" s="55"/>
    </row>
    <row r="2" spans="1:2">
      <c r="A2" s="58" t="s">
        <v>841</v>
      </c>
      <c r="B2" s="56" t="s">
        <v>832</v>
      </c>
    </row>
    <row r="3" spans="1:2">
      <c r="A3" t="s">
        <v>833</v>
      </c>
      <c r="B3" s="56" t="s">
        <v>834</v>
      </c>
    </row>
    <row r="4" spans="1:2">
      <c r="A4" t="s">
        <v>842</v>
      </c>
      <c r="B4" s="56" t="s">
        <v>836</v>
      </c>
    </row>
  </sheetData>
  <hyperlinks>
    <hyperlink ref="B2" r:id="rId1"/>
    <hyperlink ref="B3" r:id="rId2"/>
    <hyperlink ref="B4" r:id="rId3"/>
  </hyperlinks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dule____1"/>
  <dimension ref="A1:H31"/>
  <sheetViews>
    <sheetView topLeftCell="A18" zoomScale="110" zoomScaleNormal="110" workbookViewId="0">
      <selection activeCell="H58" sqref="H58"/>
    </sheetView>
  </sheetViews>
  <sheetFormatPr defaultRowHeight="15"/>
  <cols>
    <col min="2" max="2" width="17.28515625" customWidth="1"/>
    <col min="3" max="3" width="23.140625" customWidth="1"/>
    <col min="4" max="4" width="22.28515625" customWidth="1"/>
    <col min="6" max="6" width="12.28515625" customWidth="1"/>
    <col min="8" max="8" width="28.85546875" customWidth="1"/>
  </cols>
  <sheetData>
    <row r="1" spans="1:6" ht="42.75" customHeight="1">
      <c r="A1" t="s">
        <v>799</v>
      </c>
      <c r="B1" t="e">
        <f>INDEX('[1]База клиентов'!$B$2:$B$99978,$D$1,1)</f>
        <v>#N/A</v>
      </c>
      <c r="D1" s="59" t="e">
        <f>MATCH($F$1,'[1]База клиентов'!$A$2:$A$9904,0)</f>
        <v>#N/A</v>
      </c>
      <c r="E1" t="s">
        <v>800</v>
      </c>
      <c r="F1" s="60" t="s">
        <v>274</v>
      </c>
    </row>
    <row r="3" spans="1:6">
      <c r="A3" t="s">
        <v>801</v>
      </c>
      <c r="B3" t="s">
        <v>802</v>
      </c>
    </row>
    <row r="5" spans="1:6" ht="19.5">
      <c r="A5" s="61"/>
      <c r="B5" s="62"/>
    </row>
    <row r="6" spans="1:6" ht="20.25">
      <c r="A6" s="63"/>
      <c r="B6" s="62"/>
    </row>
    <row r="7" spans="1:6">
      <c r="A7" s="57" t="s">
        <v>803</v>
      </c>
    </row>
    <row r="8" spans="1:6">
      <c r="A8" s="57" t="s">
        <v>804</v>
      </c>
    </row>
    <row r="9" spans="1:6" ht="19.5">
      <c r="A9" s="64" t="s">
        <v>805</v>
      </c>
    </row>
    <row r="10" spans="1:6">
      <c r="A10" s="56" t="s">
        <v>806</v>
      </c>
    </row>
    <row r="11" spans="1:6">
      <c r="A11" s="56" t="s">
        <v>807</v>
      </c>
    </row>
    <row r="12" spans="1:6">
      <c r="A12" s="65" t="s">
        <v>808</v>
      </c>
    </row>
    <row r="13" spans="1:6" ht="13.5" customHeight="1">
      <c r="A13" s="66"/>
      <c r="B13" s="67"/>
    </row>
    <row r="14" spans="1:6" ht="15" customHeight="1">
      <c r="A14" s="68" t="s">
        <v>809</v>
      </c>
      <c r="B14" s="69"/>
      <c r="C14" s="69"/>
      <c r="D14" s="69"/>
    </row>
    <row r="15" spans="1:6">
      <c r="A15" s="68" t="s">
        <v>810</v>
      </c>
      <c r="B15" s="69"/>
      <c r="C15" s="69"/>
      <c r="D15" s="69"/>
    </row>
    <row r="16" spans="1:6" ht="23.25">
      <c r="B16" s="70"/>
      <c r="C16" s="71"/>
      <c r="D16" s="71"/>
      <c r="E16" s="72"/>
    </row>
    <row r="17" spans="1:8" ht="16.5">
      <c r="A17" s="73"/>
      <c r="D17" s="72"/>
      <c r="E17" s="72"/>
    </row>
    <row r="18" spans="1:8">
      <c r="A18" s="74" t="s">
        <v>811</v>
      </c>
    </row>
    <row r="19" spans="1:8" ht="15.75" thickBot="1">
      <c r="A19" s="68"/>
      <c r="B19" s="69"/>
      <c r="C19" s="69"/>
      <c r="D19" s="69"/>
    </row>
    <row r="20" spans="1:8" ht="45.75" thickBot="1">
      <c r="A20" s="8" t="s">
        <v>812</v>
      </c>
      <c r="B20" s="9" t="s">
        <v>1</v>
      </c>
      <c r="C20" s="75" t="s">
        <v>2</v>
      </c>
      <c r="D20" s="11" t="s">
        <v>813</v>
      </c>
      <c r="E20" s="12" t="s">
        <v>9</v>
      </c>
      <c r="F20" s="12" t="s">
        <v>10</v>
      </c>
      <c r="G20" s="76" t="s">
        <v>11</v>
      </c>
      <c r="H20" s="77" t="s">
        <v>16</v>
      </c>
    </row>
    <row r="21" spans="1:8">
      <c r="A21" s="1">
        <v>44593</v>
      </c>
      <c r="B21" s="2" t="s">
        <v>814</v>
      </c>
      <c r="C21" s="3" t="s">
        <v>831</v>
      </c>
      <c r="D21" s="4" t="s">
        <v>815</v>
      </c>
      <c r="E21" s="1">
        <v>44658</v>
      </c>
      <c r="F21" s="5">
        <v>1.8</v>
      </c>
      <c r="G21" s="5">
        <v>19.8</v>
      </c>
      <c r="H21" s="3" t="s">
        <v>167</v>
      </c>
    </row>
    <row r="22" spans="1:8">
      <c r="A22" s="1">
        <v>44609</v>
      </c>
      <c r="B22" s="2" t="s">
        <v>105</v>
      </c>
      <c r="C22" s="3" t="s">
        <v>839</v>
      </c>
      <c r="D22" s="4" t="s">
        <v>816</v>
      </c>
      <c r="E22" s="1">
        <v>44658</v>
      </c>
      <c r="F22" s="5">
        <v>0</v>
      </c>
      <c r="G22" s="5">
        <v>0</v>
      </c>
      <c r="H22" s="3"/>
    </row>
    <row r="23" spans="1:8">
      <c r="A23" s="78">
        <v>44566</v>
      </c>
      <c r="B23" s="79" t="s">
        <v>817</v>
      </c>
      <c r="C23" s="80" t="s">
        <v>835</v>
      </c>
      <c r="D23" s="81" t="s">
        <v>818</v>
      </c>
      <c r="E23" s="78">
        <v>44651</v>
      </c>
      <c r="F23" s="82">
        <v>0.3</v>
      </c>
      <c r="G23" s="82">
        <v>1.95</v>
      </c>
      <c r="H23" s="80"/>
    </row>
    <row r="24" spans="1:8">
      <c r="A24" s="1">
        <v>44589</v>
      </c>
      <c r="B24" s="2" t="s">
        <v>819</v>
      </c>
      <c r="C24" s="3" t="s">
        <v>833</v>
      </c>
      <c r="D24" s="83" t="s">
        <v>820</v>
      </c>
      <c r="E24" s="1">
        <v>44651</v>
      </c>
      <c r="F24" s="5">
        <v>0.65</v>
      </c>
      <c r="G24" s="5">
        <v>7.15</v>
      </c>
      <c r="H24" s="3"/>
    </row>
    <row r="25" spans="1:8">
      <c r="A25" s="1">
        <v>44594</v>
      </c>
      <c r="B25" s="2" t="s">
        <v>235</v>
      </c>
      <c r="C25" s="3" t="s">
        <v>831</v>
      </c>
      <c r="D25" s="83" t="s">
        <v>821</v>
      </c>
      <c r="E25" s="1">
        <v>44658</v>
      </c>
      <c r="F25" s="5">
        <v>11.6</v>
      </c>
      <c r="G25" s="5">
        <v>127.6</v>
      </c>
      <c r="H25" s="3"/>
    </row>
    <row r="26" spans="1:8">
      <c r="A26" s="1">
        <v>44594</v>
      </c>
      <c r="B26" s="2" t="s">
        <v>235</v>
      </c>
      <c r="C26" s="3" t="s">
        <v>838</v>
      </c>
      <c r="D26" s="83" t="s">
        <v>822</v>
      </c>
      <c r="E26" s="1">
        <v>44658</v>
      </c>
      <c r="F26" s="5">
        <v>0</v>
      </c>
      <c r="G26" s="5">
        <v>0</v>
      </c>
      <c r="H26" s="3"/>
    </row>
    <row r="27" spans="1:8">
      <c r="A27" s="1">
        <v>44594</v>
      </c>
      <c r="B27" s="2" t="s">
        <v>235</v>
      </c>
      <c r="C27" s="3" t="s">
        <v>833</v>
      </c>
      <c r="D27" s="83" t="s">
        <v>823</v>
      </c>
      <c r="E27" s="1">
        <v>44658</v>
      </c>
      <c r="F27" s="5">
        <v>0</v>
      </c>
      <c r="G27" s="5">
        <v>0</v>
      </c>
      <c r="H27" s="3"/>
    </row>
    <row r="28" spans="1:8">
      <c r="A28" s="1">
        <v>44597</v>
      </c>
      <c r="B28" s="2" t="s">
        <v>824</v>
      </c>
      <c r="C28" s="3" t="s">
        <v>831</v>
      </c>
      <c r="D28" s="83" t="s">
        <v>825</v>
      </c>
      <c r="E28" s="1">
        <v>44658</v>
      </c>
      <c r="F28" s="5">
        <v>0</v>
      </c>
      <c r="G28" s="5">
        <v>0</v>
      </c>
      <c r="H28" s="3"/>
    </row>
    <row r="29" spans="1:8">
      <c r="A29" s="1">
        <v>44597</v>
      </c>
      <c r="B29" s="2" t="s">
        <v>824</v>
      </c>
      <c r="C29" s="3" t="s">
        <v>835</v>
      </c>
      <c r="D29" s="83" t="s">
        <v>826</v>
      </c>
      <c r="E29" s="1">
        <v>44658</v>
      </c>
      <c r="F29" s="5">
        <v>0</v>
      </c>
      <c r="G29" s="5">
        <v>0</v>
      </c>
      <c r="H29" s="3"/>
    </row>
    <row r="30" spans="1:8">
      <c r="A30" s="1">
        <v>44598</v>
      </c>
      <c r="B30" s="2" t="s">
        <v>827</v>
      </c>
      <c r="C30" s="3" t="s">
        <v>837</v>
      </c>
      <c r="D30" s="83" t="s">
        <v>828</v>
      </c>
      <c r="E30" s="1">
        <v>44658</v>
      </c>
      <c r="F30" s="5">
        <v>0</v>
      </c>
      <c r="G30" s="5">
        <v>0</v>
      </c>
      <c r="H30" s="3"/>
    </row>
    <row r="31" spans="1:8">
      <c r="A31" s="1">
        <v>44613</v>
      </c>
      <c r="B31" s="2" t="s">
        <v>829</v>
      </c>
      <c r="C31" s="3" t="s">
        <v>831</v>
      </c>
      <c r="D31" s="4" t="s">
        <v>830</v>
      </c>
      <c r="E31" s="1">
        <v>44658</v>
      </c>
      <c r="F31" s="5">
        <v>2.1</v>
      </c>
      <c r="G31" s="5">
        <v>23.1</v>
      </c>
      <c r="H31" s="3"/>
    </row>
  </sheetData>
  <hyperlinks>
    <hyperlink ref="A11" r:id="rId1" display="mailto:wwsods@gmail.com"/>
    <hyperlink ref="A10" r:id="rId2" location="/?history=project/odessa/center/30.7544%2C46.439035/zoom/17/state/firms/where/10%20%D0%B0%D0%BF%D1%80%D0%B5%D0%BB%D1%8F%201/popup/30.755987%2C46.440373/feature/1970960492143456/id/1970960492143456/action/firmInBuild/page/1/sort/relevance/ppage/1" display="http://maps.2gis.ru/ - /?history=project/odessa/center/30.7544%2C46.439035/zoom/17/state/firms/where/10%20%D0%B0%D0%BF%D1%80%D0%B5%D0%BB%D1%8F%201/popup/30.755987%2C46.440373/feature/1970960492143456/id/1970960492143456/action/firmInBuild/page/1/sort/relevance/ppage/1"/>
  </hyperlinks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tabSelected="1" workbookViewId="0">
      <selection activeCell="B12" sqref="B12"/>
    </sheetView>
  </sheetViews>
  <sheetFormatPr defaultRowHeight="15"/>
  <cols>
    <col min="1" max="1" width="19.7109375" bestFit="1" customWidth="1"/>
    <col min="2" max="2" width="32.140625" bestFit="1" customWidth="1"/>
    <col min="3" max="5" width="34.7109375" bestFit="1" customWidth="1"/>
  </cols>
  <sheetData>
    <row r="1" spans="1:1">
      <c r="A1">
        <v>100</v>
      </c>
    </row>
    <row r="2" spans="1:1">
      <c r="A2" s="86" t="s">
        <v>845</v>
      </c>
    </row>
    <row r="3" spans="1:1">
      <c r="A3" s="86" t="s">
        <v>846</v>
      </c>
    </row>
    <row r="4" spans="1:1">
      <c r="A4" s="86" t="s">
        <v>843</v>
      </c>
    </row>
    <row r="5" spans="1:1">
      <c r="A5" s="86" t="s">
        <v>844</v>
      </c>
    </row>
  </sheetData>
  <pageMargins left="0.7" right="0.7" top="0.75" bottom="0.75" header="0.3" footer="0.3"/>
  <pageSetup paperSize="1000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Main</vt:lpstr>
      <vt:lpstr>UE</vt:lpstr>
      <vt:lpstr>Долги</vt:lpstr>
      <vt:lpstr>База клиентов</vt:lpstr>
      <vt:lpstr>получение</vt:lpstr>
      <vt:lpstr>Лист5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PricedCloud6199 PricedCloud6199</cp:lastModifiedBy>
  <dcterms:created xsi:type="dcterms:W3CDTF">2022-05-27T12:43:17Z</dcterms:created>
  <dcterms:modified xsi:type="dcterms:W3CDTF">2023-01-16T18:33:05Z</dcterms:modified>
</cp:coreProperties>
</file>